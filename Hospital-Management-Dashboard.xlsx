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drawings/drawing3.xml" ContentType="application/vnd.openxmlformats-officedocument.drawing+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https://d.docs.live.net/e18a7aace33d5fa7/All Excell Files/"/>
    </mc:Choice>
  </mc:AlternateContent>
  <xr:revisionPtr revIDLastSave="0" documentId="13_ncr:1_{B61F01A2-B045-4BDA-994B-4D41780CA477}" xr6:coauthVersionLast="47" xr6:coauthVersionMax="47" xr10:uidLastSave="{00000000-0000-0000-0000-000000000000}"/>
  <bookViews>
    <workbookView minimized="1" xWindow="1812" yWindow="1812" windowWidth="17280" windowHeight="9420" xr2:uid="{ECD80873-8B16-4872-A72D-76A5118D6801}"/>
  </bookViews>
  <sheets>
    <sheet name="Deshboard" sheetId="2" r:id="rId1"/>
    <sheet name="Pivot Report" sheetId="1" r:id="rId2"/>
    <sheet name="Average wait time daily trend" sheetId="4" r:id="rId3"/>
    <sheet name="Daily ER No Of Patient" sheetId="3" r:id="rId4"/>
    <sheet name="Satisfication core daily trend" sheetId="5" r:id="rId5"/>
    <sheet name="Sheet6" sheetId="6" r:id="rId6"/>
  </sheets>
  <definedNames>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49e2bed-6969-41c0-8e70-c1137f28664f" name="Hospital Emergency Room Data" connection="Query - Hospital Emergency Room Data"/>
          <x15:modelTable id="Calendar_Table_18ca6c52-9c79-4955-8217-78e240cdcaf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4" i="1" l="1"/>
  <c r="C64" i="1"/>
  <c r="B65" i="1"/>
  <c r="C65" i="1"/>
  <c r="A65" i="1"/>
  <c r="A6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46738E-3ACB-4B1E-9B7D-386FE3762856}" name="Query - Calendar_Table" description="Connection to the 'Calendar_Table' query in the workbook." type="100" refreshedVersion="8" minRefreshableVersion="5">
    <extLst>
      <ext xmlns:x15="http://schemas.microsoft.com/office/spreadsheetml/2010/11/main" uri="{DE250136-89BD-433C-8126-D09CA5730AF9}">
        <x15:connection id="9bfba01b-3053-45d9-aff6-be4c1bde90a7"/>
      </ext>
    </extLst>
  </connection>
  <connection id="2" xr16:uid="{29E6D590-B6A0-432D-BBAE-1FDD46E2CA6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faa6701-1193-464a-a901-5debf8d02fe8"/>
      </ext>
    </extLst>
  </connection>
  <connection id="3" xr16:uid="{8B64747D-3258-4160-BA89-ECEB43B602C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<sst xmlns="http://schemas.openxmlformats.org/spreadsheetml/2006/main" count="156" uniqueCount="75">
  <si>
    <t>Distinct Count of Patient Id</t>
  </si>
  <si>
    <t>No. Of Patient</t>
  </si>
  <si>
    <t>Average of Patient Waittime</t>
  </si>
  <si>
    <t>Average of Patient Satisfaction Score</t>
  </si>
  <si>
    <t>Row Labels</t>
  </si>
  <si>
    <t>Grand Total</t>
  </si>
  <si>
    <t>Daily trends no. of patient</t>
  </si>
  <si>
    <t>Average wait time</t>
  </si>
  <si>
    <t>Satisfication score daily trend</t>
  </si>
  <si>
    <t>Count of Patient Admission Flag</t>
  </si>
  <si>
    <t>Admitted</t>
  </si>
  <si>
    <t>Not Admitted</t>
  </si>
  <si>
    <t>Count of Patient Admission Flag2</t>
  </si>
  <si>
    <t>Admission Status</t>
  </si>
  <si>
    <t>No. of Patient</t>
  </si>
  <si>
    <t>% Status</t>
  </si>
  <si>
    <t>0-9</t>
  </si>
  <si>
    <t>10-9</t>
  </si>
  <si>
    <t>20-29</t>
  </si>
  <si>
    <t>30-39</t>
  </si>
  <si>
    <t>40-49</t>
  </si>
  <si>
    <t>50-59</t>
  </si>
  <si>
    <t>60-69</t>
  </si>
  <si>
    <t>70-79</t>
  </si>
  <si>
    <t>Count of Age Group</t>
  </si>
  <si>
    <t>age group wise analysis</t>
  </si>
  <si>
    <t>Ontime</t>
  </si>
  <si>
    <t>Delay</t>
  </si>
  <si>
    <t>Count of Patient Attend Status</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</si>
  <si>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</si>
  <si>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</si>
  <si>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</si>
  <si>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</si>
  <si>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</si>
  <si>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</si>
  <si>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</si>
  <si>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</si>
  <si>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</si>
  <si>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</si>
  <si>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</si>
  <si>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</si>
  <si>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</si>
  <si>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</si>
  <si>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2023</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</si>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</sst>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1" tint="0.249977111117893"/>
        <bgColor indexed="64"/>
      </patternFill>
    </fill>
    <fill>
      <patternFill patternType="solid">
        <fgColor theme="8" tint="0.79998168889431442"/>
        <bgColor indexed="64"/>
      </patternFill>
    </fill>
    <fill>
      <patternFill patternType="solid">
        <fgColor theme="2" tint="-0.499984740745262"/>
        <bgColor indexed="64"/>
      </patternFill>
    </fill>
    <fill>
      <patternFill patternType="solid">
        <fgColor theme="4" tint="0.399975585192419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1" fontId="0" fillId="0" borderId="0" xfId="0" applyNumberFormat="1"/>
    <xf numFmtId="10" fontId="0" fillId="0" borderId="0" xfId="0" applyNumberFormat="1"/>
    <xf numFmtId="9" fontId="0" fillId="0" borderId="0" xfId="1" applyFont="1"/>
    <xf numFmtId="0" fontId="0" fillId="6" borderId="0" xfId="0" applyFill="1"/>
    <xf numFmtId="0" fontId="0" fillId="6" borderId="0" xfId="0" applyFill="1" applyAlignment="1">
      <alignment horizontal="center"/>
    </xf>
    <xf numFmtId="9" fontId="0" fillId="6" borderId="0" xfId="1" applyFont="1" applyFill="1" applyAlignment="1">
      <alignment horizontal="center"/>
    </xf>
    <xf numFmtId="0" fontId="2" fillId="5" borderId="0" xfId="0" applyFont="1" applyFill="1" applyAlignment="1">
      <alignment horizontal="center"/>
    </xf>
    <xf numFmtId="0" fontId="2" fillId="5" borderId="0" xfId="0" applyFont="1" applyFill="1"/>
    <xf numFmtId="0" fontId="0" fillId="0" borderId="0" xfId="0" applyFont="1" applyFill="1" applyBorder="1"/>
  </cellXfs>
  <cellStyles count="2">
    <cellStyle name="Normal" xfId="0" builtinId="0"/>
    <cellStyle name="Percent" xfId="1" builtinId="5"/>
  </cellStyles>
  <dxfs count="6">
    <dxf>
      <numFmt numFmtId="2" formatCode="0.00"/>
    </dxf>
    <dxf>
      <numFmt numFmtId="2" formatCode="0.00"/>
    </dxf>
    <dxf>
      <numFmt numFmtId="2" formatCode="0.00"/>
    </dxf>
    <dxf>
      <numFmt numFmtId="2" formatCode="0.00"/>
    </dxf>
    <dxf>
      <font>
        <b/>
        <color theme="1"/>
      </font>
      <border>
        <bottom style="thin">
          <color theme="7"/>
        </bottom>
        <vertical/>
        <horizontal/>
      </border>
    </dxf>
    <dxf>
      <font>
        <sz val="8"/>
        <color theme="1"/>
      </font>
      <fill>
        <patternFill>
          <bgColor theme="0" tint="-0.14996795556505021"/>
        </patternFill>
      </fill>
      <border diagonalUp="0" diagonalDown="0">
        <left/>
        <right/>
        <top/>
        <bottom/>
        <vertical/>
        <horizontal/>
      </border>
    </dxf>
  </dxfs>
  <tableStyles count="1" defaultTableStyle="TableStyleMedium2" defaultPivotStyle="PivotStyleLight16">
    <tableStyle name="My style11" pivot="0" table="0" count="10" xr9:uid="{0A3B3B43-6016-42FC-B862-6AA9F5B7676D}">
      <tableStyleElement type="wholeTable" dxfId="5"/>
      <tableStyleElement type="headerRow" dxfId="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1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53371670753379E-2"/>
          <c:y val="7.0471787336469652E-2"/>
          <c:w val="0.91835272383086453"/>
          <c:h val="0.76830684451654752"/>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Report'!$E$5:$E$36</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2-0A65-4A98-8186-4F623AE88C5C}"/>
            </c:ext>
          </c:extLst>
        </c:ser>
        <c:dLbls>
          <c:showLegendKey val="0"/>
          <c:showVal val="0"/>
          <c:showCatName val="0"/>
          <c:showSerName val="0"/>
          <c:showPercent val="0"/>
          <c:showBubbleSize val="0"/>
        </c:dLbls>
        <c:axId val="952258815"/>
        <c:axId val="952251615"/>
      </c:areaChart>
      <c:catAx>
        <c:axId val="952258815"/>
        <c:scaling>
          <c:orientation val="minMax"/>
        </c:scaling>
        <c:delete val="1"/>
        <c:axPos val="b"/>
        <c:numFmt formatCode="General" sourceLinked="1"/>
        <c:majorTickMark val="out"/>
        <c:minorTickMark val="none"/>
        <c:tickLblPos val="nextTo"/>
        <c:crossAx val="952251615"/>
        <c:crosses val="autoZero"/>
        <c:auto val="1"/>
        <c:lblAlgn val="ctr"/>
        <c:lblOffset val="100"/>
        <c:noMultiLvlLbl val="0"/>
      </c:catAx>
      <c:valAx>
        <c:axId val="952251615"/>
        <c:scaling>
          <c:orientation val="minMax"/>
        </c:scaling>
        <c:delete val="1"/>
        <c:axPos val="l"/>
        <c:numFmt formatCode="General" sourceLinked="1"/>
        <c:majorTickMark val="none"/>
        <c:minorTickMark val="none"/>
        <c:tickLblPos val="nextTo"/>
        <c:crossAx val="952258815"/>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[Deshboard.xlsx]Pivot Report!PivotTable5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3137251307038316E-3"/>
          <c:w val="1"/>
          <c:h val="0.99068627486929617"/>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Report'!$I$5:$I$36</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2-263B-4DB5-938B-DA8608F1E7B2}"/>
            </c:ext>
          </c:extLst>
        </c:ser>
        <c:dLbls>
          <c:showLegendKey val="0"/>
          <c:showVal val="0"/>
          <c:showCatName val="0"/>
          <c:showSerName val="0"/>
          <c:showPercent val="0"/>
          <c:showBubbleSize val="0"/>
        </c:dLbls>
        <c:axId val="952262175"/>
        <c:axId val="952257855"/>
      </c:areaChart>
      <c:catAx>
        <c:axId val="952262175"/>
        <c:scaling>
          <c:orientation val="minMax"/>
        </c:scaling>
        <c:delete val="1"/>
        <c:axPos val="b"/>
        <c:numFmt formatCode="General" sourceLinked="1"/>
        <c:majorTickMark val="out"/>
        <c:minorTickMark val="none"/>
        <c:tickLblPos val="nextTo"/>
        <c:crossAx val="952257855"/>
        <c:crosses val="autoZero"/>
        <c:auto val="1"/>
        <c:lblAlgn val="ctr"/>
        <c:lblOffset val="100"/>
        <c:noMultiLvlLbl val="0"/>
      </c:catAx>
      <c:valAx>
        <c:axId val="952257855"/>
        <c:scaling>
          <c:orientation val="minMax"/>
        </c:scaling>
        <c:delete val="1"/>
        <c:axPos val="l"/>
        <c:numFmt formatCode="0.00" sourceLinked="1"/>
        <c:majorTickMark val="none"/>
        <c:minorTickMark val="none"/>
        <c:tickLblPos val="nextTo"/>
        <c:crossAx val="9522621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[Deshboard.xlsx]Pivot Report!PivotTable6</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97369120589227E-3"/>
          <c:y val="6.8427366530756442E-3"/>
          <c:w val="0.99720297498628241"/>
          <c:h val="0.9910182974547922"/>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Report'!$M$5:$M$36</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2-A4DD-4018-9A39-4209EBEC5537}"/>
            </c:ext>
          </c:extLst>
        </c:ser>
        <c:dLbls>
          <c:showLegendKey val="0"/>
          <c:showVal val="0"/>
          <c:showCatName val="0"/>
          <c:showSerName val="0"/>
          <c:showPercent val="0"/>
          <c:showBubbleSize val="0"/>
        </c:dLbls>
        <c:axId val="952251615"/>
        <c:axId val="952255455"/>
      </c:areaChart>
      <c:catAx>
        <c:axId val="952251615"/>
        <c:scaling>
          <c:orientation val="minMax"/>
        </c:scaling>
        <c:delete val="1"/>
        <c:axPos val="b"/>
        <c:numFmt formatCode="General" sourceLinked="1"/>
        <c:majorTickMark val="out"/>
        <c:minorTickMark val="none"/>
        <c:tickLblPos val="nextTo"/>
        <c:crossAx val="952255455"/>
        <c:crosses val="autoZero"/>
        <c:auto val="1"/>
        <c:lblAlgn val="ctr"/>
        <c:lblOffset val="100"/>
        <c:noMultiLvlLbl val="0"/>
      </c:catAx>
      <c:valAx>
        <c:axId val="952255455"/>
        <c:scaling>
          <c:orientation val="minMax"/>
        </c:scaling>
        <c:delete val="1"/>
        <c:axPos val="l"/>
        <c:numFmt formatCode="0.00" sourceLinked="1"/>
        <c:majorTickMark val="none"/>
        <c:minorTickMark val="none"/>
        <c:tickLblPos val="nextTo"/>
        <c:crossAx val="9522516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[Deshboard.xlsx]Pivot Report!PivotTable8</c:name>
    <c:fmtId val="8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7870887783369E-2"/>
          <c:y val="5.6020007507888358E-3"/>
          <c:w val="0.98851194311631718"/>
          <c:h val="0.70299816669367265"/>
        </c:manualLayout>
      </c:layout>
      <c:barChart>
        <c:barDir val="col"/>
        <c:grouping val="clustered"/>
        <c:varyColors val="0"/>
        <c:ser>
          <c:idx val="0"/>
          <c:order val="0"/>
          <c:tx>
            <c:strRef>
              <c:f>'Pivot Report'!$B$69</c:f>
              <c:strCache>
                <c:ptCount val="1"/>
                <c:pt idx="0">
                  <c:v>Total</c:v>
                </c:pt>
              </c:strCache>
            </c:strRef>
          </c:tx>
          <c:spPr>
            <a:solidFill>
              <a:schemeClr val="accent1"/>
            </a:solidFill>
            <a:ln>
              <a:noFill/>
            </a:ln>
            <a:effectLst>
              <a:outerShdw blurRad="50800" dist="38100" dir="5400000" algn="t" rotWithShape="0">
                <a:prstClr val="black">
                  <a:alpha val="40000"/>
                </a:prstClr>
              </a:outerShdw>
            </a:effectLst>
          </c:spPr>
          <c:invertIfNegative val="0"/>
          <c:cat>
            <c:strRef>
              <c:f>'Pivot Report'!$A$70:$A$78</c:f>
              <c:strCache>
                <c:ptCount val="8"/>
                <c:pt idx="0">
                  <c:v>0-9</c:v>
                </c:pt>
                <c:pt idx="1">
                  <c:v>10-9</c:v>
                </c:pt>
                <c:pt idx="2">
                  <c:v>20-29</c:v>
                </c:pt>
                <c:pt idx="3">
                  <c:v>30-39</c:v>
                </c:pt>
                <c:pt idx="4">
                  <c:v>40-49</c:v>
                </c:pt>
                <c:pt idx="5">
                  <c:v>50-59</c:v>
                </c:pt>
                <c:pt idx="6">
                  <c:v>60-69</c:v>
                </c:pt>
                <c:pt idx="7">
                  <c:v>70-79</c:v>
                </c:pt>
              </c:strCache>
            </c:strRef>
          </c:cat>
          <c:val>
            <c:numRef>
              <c:f>'Pivot Report'!$B$70:$B$78</c:f>
              <c:numCache>
                <c:formatCode>General</c:formatCode>
                <c:ptCount val="8"/>
                <c:pt idx="0">
                  <c:v>52</c:v>
                </c:pt>
                <c:pt idx="1">
                  <c:v>65</c:v>
                </c:pt>
                <c:pt idx="2">
                  <c:v>64</c:v>
                </c:pt>
                <c:pt idx="3">
                  <c:v>57</c:v>
                </c:pt>
                <c:pt idx="4">
                  <c:v>71</c:v>
                </c:pt>
                <c:pt idx="5">
                  <c:v>59</c:v>
                </c:pt>
                <c:pt idx="6">
                  <c:v>93</c:v>
                </c:pt>
                <c:pt idx="7">
                  <c:v>32</c:v>
                </c:pt>
              </c:numCache>
            </c:numRef>
          </c:val>
          <c:extLst>
            <c:ext xmlns:c16="http://schemas.microsoft.com/office/drawing/2014/chart" uri="{C3380CC4-5D6E-409C-BE32-E72D297353CC}">
              <c16:uniqueId val="{00000002-4CBD-4FD6-B45B-9A5C95D14EA4}"/>
            </c:ext>
          </c:extLst>
        </c:ser>
        <c:dLbls>
          <c:showLegendKey val="0"/>
          <c:showVal val="0"/>
          <c:showCatName val="0"/>
          <c:showSerName val="0"/>
          <c:showPercent val="0"/>
          <c:showBubbleSize val="0"/>
        </c:dLbls>
        <c:gapWidth val="219"/>
        <c:overlap val="-27"/>
        <c:axId val="1303453648"/>
        <c:axId val="1303442608"/>
      </c:barChart>
      <c:catAx>
        <c:axId val="130345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42608"/>
        <c:crosses val="autoZero"/>
        <c:auto val="1"/>
        <c:lblAlgn val="ctr"/>
        <c:lblOffset val="100"/>
        <c:noMultiLvlLbl val="0"/>
      </c:catAx>
      <c:valAx>
        <c:axId val="1303442608"/>
        <c:scaling>
          <c:orientation val="minMax"/>
        </c:scaling>
        <c:delete val="1"/>
        <c:axPos val="l"/>
        <c:numFmt formatCode="General" sourceLinked="1"/>
        <c:majorTickMark val="none"/>
        <c:minorTickMark val="none"/>
        <c:tickLblPos val="nextTo"/>
        <c:crossAx val="130345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[Deshboard.xlsx]Pivot Report!PivotTable9</c:name>
    <c:fmtId val="89"/>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spPr>
          <a:effectLst>
            <a:glow rad="63500">
              <a:schemeClr val="accent5">
                <a:satMod val="175000"/>
                <a:alpha val="40000"/>
              </a:schemeClr>
            </a:glow>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a:glow rad="63500">
              <a:schemeClr val="accent5">
                <a:satMod val="175000"/>
                <a:alpha val="40000"/>
              </a:schemeClr>
            </a:glow>
            <a:outerShdw blurRad="50800" dist="38100" dir="13500000" algn="br"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glow rad="63500">
              <a:schemeClr val="accent5">
                <a:satMod val="175000"/>
                <a:alpha val="40000"/>
              </a:schemeClr>
            </a:glow>
            <a:outerShdw blurRad="50800" dist="38100" dir="13500000" algn="br"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015168539325841"/>
          <c:y val="0.18972455089820361"/>
          <c:w val="0.72964887640449438"/>
          <c:h val="0.77770958083832331"/>
        </c:manualLayout>
      </c:layout>
      <c:pieChart>
        <c:varyColors val="1"/>
        <c:ser>
          <c:idx val="0"/>
          <c:order val="0"/>
          <c:tx>
            <c:strRef>
              <c:f>'Pivot Report'!$B$82</c:f>
              <c:strCache>
                <c:ptCount val="1"/>
                <c:pt idx="0">
                  <c:v>Total</c:v>
                </c:pt>
              </c:strCache>
            </c:strRef>
          </c:tx>
          <c:spPr>
            <a:effectLst>
              <a:glow rad="63500">
                <a:schemeClr val="accent5">
                  <a:satMod val="175000"/>
                  <a:alpha val="40000"/>
                </a:schemeClr>
              </a:glow>
              <a:outerShdw blurRad="50800" dist="38100" dir="13500000" algn="br" rotWithShape="0">
                <a:prstClr val="black">
                  <a:alpha val="40000"/>
                </a:prstClr>
              </a:outerShdw>
            </a:effectLst>
          </c:spPr>
          <c:dPt>
            <c:idx val="0"/>
            <c:bubble3D val="0"/>
            <c:spPr>
              <a:solidFill>
                <a:schemeClr val="accent1"/>
              </a:solidFill>
              <a:ln>
                <a:noFill/>
              </a:ln>
              <a:effectLst>
                <a:glow rad="63500">
                  <a:schemeClr val="accent5">
                    <a:satMod val="175000"/>
                    <a:alpha val="40000"/>
                  </a:schemeClr>
                </a:glow>
                <a:outerShdw blurRad="50800" dist="38100" dir="13500000" algn="br"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3D7-4407-BE3C-A4ABE4ABDC69}"/>
              </c:ext>
            </c:extLst>
          </c:dPt>
          <c:dPt>
            <c:idx val="1"/>
            <c:bubble3D val="0"/>
            <c:spPr>
              <a:solidFill>
                <a:schemeClr val="accent2"/>
              </a:solidFill>
              <a:ln>
                <a:noFill/>
              </a:ln>
              <a:effectLst>
                <a:glow rad="63500">
                  <a:schemeClr val="accent5">
                    <a:satMod val="175000"/>
                    <a:alpha val="40000"/>
                  </a:schemeClr>
                </a:glow>
                <a:outerShdw blurRad="50800" dist="38100" dir="13500000" algn="br"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3D7-4407-BE3C-A4ABE4ABDC69}"/>
              </c:ext>
            </c:extLst>
          </c:dPt>
          <c:dLbls>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'Pivot Report'!$A$83:$A$85</c:f>
              <c:strCache>
                <c:ptCount val="2"/>
                <c:pt idx="0">
                  <c:v>Delay</c:v>
                </c:pt>
                <c:pt idx="1">
                  <c:v>Ontime</c:v>
                </c:pt>
              </c:strCache>
            </c:strRef>
          </c:cat>
          <c:val>
            <c:numRef>
              <c:f>'Pivot Report'!$B$83:$B$85</c:f>
              <c:numCache>
                <c:formatCode>General</c:formatCode>
                <c:ptCount val="2"/>
                <c:pt idx="0">
                  <c:v>293</c:v>
                </c:pt>
                <c:pt idx="1">
                  <c:v>200</c:v>
                </c:pt>
              </c:numCache>
            </c:numRef>
          </c:val>
          <c:extLst>
            <c:ext xmlns:c16="http://schemas.microsoft.com/office/drawing/2014/chart" uri="{C3380CC4-5D6E-409C-BE32-E72D297353CC}">
              <c16:uniqueId val="{00000006-AE3B-4B1F-B9E2-FCF94FA4A240}"/>
            </c:ext>
          </c:extLst>
        </c:ser>
        <c:dLbls>
          <c:dLblPos val="inEnd"/>
          <c:showLegendKey val="0"/>
          <c:showVal val="0"/>
          <c:showCatName val="0"/>
          <c:showSerName val="0"/>
          <c:showPercent val="1"/>
          <c:showBubbleSize val="0"/>
          <c:showLeaderLines val="1"/>
        </c:dLbls>
        <c:firstSliceAng val="0"/>
      </c:pieChart>
      <c:spPr>
        <a:noFill/>
        <a:ln>
          <a:noFill/>
        </a:ln>
        <a:effectLst>
          <a:glow rad="101600">
            <a:schemeClr val="accent5">
              <a:satMod val="175000"/>
              <a:alpha val="40000"/>
            </a:schemeClr>
          </a:glow>
        </a:effectLst>
      </c:spPr>
    </c:plotArea>
    <c:legend>
      <c:legendPos val="r"/>
      <c:layout>
        <c:manualLayout>
          <c:xMode val="edge"/>
          <c:yMode val="edge"/>
          <c:x val="3.1122252946252548E-2"/>
          <c:y val="2.8627914298627946E-2"/>
          <c:w val="0.93038124621486906"/>
          <c:h val="0.200873681890031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[Deshboard.xlsx]Pivot Report!PivotTable10</c:name>
    <c:fmtId val="9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effectLst>
            <a:glow rad="63500">
              <a:schemeClr val="accent5">
                <a:satMod val="175000"/>
                <a:alpha val="40000"/>
              </a:schemeClr>
            </a:glow>
          </a:effectLst>
          <a:scene3d>
            <a:camera prst="orthographicFront"/>
            <a:lightRig rig="brightRoom" dir="t"/>
          </a:scene3d>
          <a:sp3d prstMaterial="flat">
            <a:contourClr>
              <a:srgbClr val="000000"/>
            </a:contourClr>
          </a:sp3d>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a:glow rad="63500">
              <a:schemeClr val="accent5">
                <a:satMod val="175000"/>
                <a:alpha val="40000"/>
              </a:schemeClr>
            </a:glow>
          </a:effectLst>
          <a:scene3d>
            <a:camera prst="orthographicFront"/>
            <a:lightRig rig="brightRoom" dir="t"/>
          </a:scene3d>
          <a:sp3d prstMaterial="flat">
            <a:contourClr>
              <a:srgbClr val="000000"/>
            </a:contourClr>
          </a:sp3d>
        </c:spPr>
      </c:pivotFmt>
      <c:pivotFmt>
        <c:idx val="6"/>
        <c:spPr>
          <a:solidFill>
            <a:schemeClr val="accent2"/>
          </a:solidFill>
          <a:ln>
            <a:noFill/>
          </a:ln>
          <a:effectLst>
            <a:glow rad="63500">
              <a:schemeClr val="accent5">
                <a:satMod val="175000"/>
                <a:alpha val="40000"/>
              </a:schemeClr>
            </a:glow>
          </a:effectLst>
          <a:scene3d>
            <a:camera prst="orthographicFront"/>
            <a:lightRig rig="brightRoom" dir="t"/>
          </a:scene3d>
          <a:sp3d prstMaterial="flat">
            <a:contourClr>
              <a:srgbClr val="000000"/>
            </a:contourClr>
          </a:sp3d>
        </c:spPr>
      </c:pivotFmt>
    </c:pivotFmts>
    <c:plotArea>
      <c:layout>
        <c:manualLayout>
          <c:layoutTarget val="inner"/>
          <c:xMode val="edge"/>
          <c:yMode val="edge"/>
          <c:x val="0.11298624412958544"/>
          <c:y val="0.16577116101919401"/>
          <c:w val="0.80903078437347231"/>
          <c:h val="0.78296751089405503"/>
        </c:manualLayout>
      </c:layout>
      <c:doughnutChart>
        <c:varyColors val="1"/>
        <c:ser>
          <c:idx val="0"/>
          <c:order val="0"/>
          <c:tx>
            <c:strRef>
              <c:f>'Pivot Report'!$B$88</c:f>
              <c:strCache>
                <c:ptCount val="1"/>
                <c:pt idx="0">
                  <c:v>Total</c:v>
                </c:pt>
              </c:strCache>
            </c:strRef>
          </c:tx>
          <c:spPr>
            <a:effectLst>
              <a:glow rad="63500">
                <a:schemeClr val="accent5">
                  <a:satMod val="175000"/>
                  <a:alpha val="40000"/>
                </a:schemeClr>
              </a:glow>
            </a:effectLst>
            <a:scene3d>
              <a:camera prst="orthographicFront"/>
              <a:lightRig rig="brightRoom" dir="t"/>
            </a:scene3d>
            <a:sp3d prstMaterial="flat">
              <a:contourClr>
                <a:srgbClr val="000000"/>
              </a:contourClr>
            </a:sp3d>
          </c:spPr>
          <c:dPt>
            <c:idx val="0"/>
            <c:bubble3D val="0"/>
            <c:spPr>
              <a:solidFill>
                <a:schemeClr val="accent1"/>
              </a:solidFill>
              <a:ln>
                <a:noFill/>
              </a:ln>
              <a:effectLst>
                <a:glow rad="63500">
                  <a:schemeClr val="accent5">
                    <a:satMod val="175000"/>
                    <a:alpha val="40000"/>
                  </a:schemeClr>
                </a:glow>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1414-4059-AD77-8A4FF9B64957}"/>
              </c:ext>
            </c:extLst>
          </c:dPt>
          <c:dPt>
            <c:idx val="1"/>
            <c:bubble3D val="0"/>
            <c:spPr>
              <a:solidFill>
                <a:schemeClr val="accent2"/>
              </a:solidFill>
              <a:ln>
                <a:noFill/>
              </a:ln>
              <a:effectLst>
                <a:glow rad="63500">
                  <a:schemeClr val="accent5">
                    <a:satMod val="175000"/>
                    <a:alpha val="40000"/>
                  </a:schemeClr>
                </a:glow>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1414-4059-AD77-8A4FF9B64957}"/>
              </c:ext>
            </c:extLst>
          </c:dPt>
          <c:dLbls>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Report'!$A$89:$A$91</c:f>
              <c:strCache>
                <c:ptCount val="2"/>
                <c:pt idx="0">
                  <c:v>Female</c:v>
                </c:pt>
                <c:pt idx="1">
                  <c:v>Male</c:v>
                </c:pt>
              </c:strCache>
            </c:strRef>
          </c:cat>
          <c:val>
            <c:numRef>
              <c:f>'Pivot Report'!$B$89:$B$91</c:f>
              <c:numCache>
                <c:formatCode>General</c:formatCode>
                <c:ptCount val="2"/>
                <c:pt idx="0">
                  <c:v>248</c:v>
                </c:pt>
                <c:pt idx="1">
                  <c:v>245</c:v>
                </c:pt>
              </c:numCache>
            </c:numRef>
          </c:val>
          <c:extLst>
            <c:ext xmlns:c16="http://schemas.microsoft.com/office/drawing/2014/chart" uri="{C3380CC4-5D6E-409C-BE32-E72D297353CC}">
              <c16:uniqueId val="{00000007-4AF1-4150-9C46-47A09697581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3.9801139141045654E-2"/>
          <c:y val="1.2453592330041442E-2"/>
          <c:w val="0.8870879847052392"/>
          <c:h val="0.171627495763648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[Deshboard.xlsx]Pivot Report!PivotTable11</c:name>
    <c:fmtId val="10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accent1">
                <a:shade val="15000"/>
              </a:schemeClr>
            </a:solidFill>
          </a:ln>
          <a:effectLst/>
        </c:spPr>
        <c:marker>
          <c:symbol val="none"/>
        </c:marker>
        <c:dLbl>
          <c:idx val="0"/>
          <c:spPr>
            <a:noFill/>
            <a:ln>
              <a:noFill/>
            </a:ln>
            <a:effectLst/>
          </c:spPr>
          <c:txPr>
            <a:bodyPr rot="0" spcFirstLastPara="1" vertOverflow="ellipsis" vert="horz" wrap="square" anchor="ctr" anchorCtr="1"/>
            <a:lstStyle/>
            <a:p>
              <a:pPr>
                <a:defRPr sz="800" b="0" i="0"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708477332432668"/>
          <c:y val="5.9972885558683707E-2"/>
          <c:w val="0.51264708190730501"/>
          <c:h val="0.72244712641641129"/>
        </c:manualLayout>
      </c:layout>
      <c:barChart>
        <c:barDir val="bar"/>
        <c:grouping val="clustered"/>
        <c:varyColors val="0"/>
        <c:ser>
          <c:idx val="0"/>
          <c:order val="0"/>
          <c:tx>
            <c:strRef>
              <c:f>'Pivot Report'!$B$95</c:f>
              <c:strCache>
                <c:ptCount val="1"/>
                <c:pt idx="0">
                  <c:v>Total</c:v>
                </c:pt>
              </c:strCache>
            </c:strRef>
          </c:tx>
          <c:spPr>
            <a:solidFill>
              <a:schemeClr val="accent1"/>
            </a:solidFill>
            <a:ln w="0">
              <a:solidFill>
                <a:schemeClr val="accent1">
                  <a:shade val="15000"/>
                </a:schemeClr>
              </a:solidFill>
            </a:ln>
            <a:effectLst/>
          </c:spPr>
          <c:invertIfNegative val="0"/>
          <c:dLbls>
            <c:spPr>
              <a:noFill/>
              <a:ln>
                <a:noFill/>
              </a:ln>
              <a:effectLst/>
            </c:spPr>
            <c:txPr>
              <a:bodyPr rot="0" spcFirstLastPara="1" vertOverflow="ellipsis" vert="horz" wrap="square" anchor="ctr" anchorCtr="1"/>
              <a:lstStyle/>
              <a:p>
                <a:pPr>
                  <a:defRPr sz="800" b="0" i="0"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Report'!$A$96:$A$104</c:f>
              <c:strCache>
                <c:ptCount val="8"/>
                <c:pt idx="0">
                  <c:v>Gastroenterology</c:v>
                </c:pt>
                <c:pt idx="1">
                  <c:v>Renal</c:v>
                </c:pt>
                <c:pt idx="2">
                  <c:v>Cardiology</c:v>
                </c:pt>
                <c:pt idx="3">
                  <c:v>Neurology</c:v>
                </c:pt>
                <c:pt idx="4">
                  <c:v>Physiotherapy</c:v>
                </c:pt>
                <c:pt idx="5">
                  <c:v>Orthopedics</c:v>
                </c:pt>
                <c:pt idx="6">
                  <c:v>General Practice</c:v>
                </c:pt>
                <c:pt idx="7">
                  <c:v>None</c:v>
                </c:pt>
              </c:strCache>
            </c:strRef>
          </c:cat>
          <c:val>
            <c:numRef>
              <c:f>'Pivot Report'!$B$96:$B$104</c:f>
              <c:numCache>
                <c:formatCode>General</c:formatCode>
                <c:ptCount val="8"/>
                <c:pt idx="0">
                  <c:v>9</c:v>
                </c:pt>
                <c:pt idx="1">
                  <c:v>9</c:v>
                </c:pt>
                <c:pt idx="2">
                  <c:v>10</c:v>
                </c:pt>
                <c:pt idx="3">
                  <c:v>11</c:v>
                </c:pt>
                <c:pt idx="4">
                  <c:v>15</c:v>
                </c:pt>
                <c:pt idx="5">
                  <c:v>61</c:v>
                </c:pt>
                <c:pt idx="6">
                  <c:v>96</c:v>
                </c:pt>
                <c:pt idx="7">
                  <c:v>282</c:v>
                </c:pt>
              </c:numCache>
            </c:numRef>
          </c:val>
          <c:extLst>
            <c:ext xmlns:c16="http://schemas.microsoft.com/office/drawing/2014/chart" uri="{C3380CC4-5D6E-409C-BE32-E72D297353CC}">
              <c16:uniqueId val="{00000003-C3F3-48D6-81E5-85174EE6BC9B}"/>
            </c:ext>
          </c:extLst>
        </c:ser>
        <c:dLbls>
          <c:showLegendKey val="0"/>
          <c:showVal val="0"/>
          <c:showCatName val="0"/>
          <c:showSerName val="0"/>
          <c:showPercent val="0"/>
          <c:showBubbleSize val="0"/>
        </c:dLbls>
        <c:gapWidth val="135"/>
        <c:axId val="1413998832"/>
        <c:axId val="1414003152"/>
      </c:barChart>
      <c:catAx>
        <c:axId val="141399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sng" strike="noStrike" kern="1200" baseline="0">
                <a:solidFill>
                  <a:schemeClr val="tx1">
                    <a:lumMod val="65000"/>
                    <a:lumOff val="35000"/>
                  </a:schemeClr>
                </a:solidFill>
                <a:latin typeface="+mn-lt"/>
                <a:ea typeface="+mn-ea"/>
                <a:cs typeface="+mn-cs"/>
              </a:defRPr>
            </a:pPr>
            <a:endParaRPr lang="en-US"/>
          </a:p>
        </c:txPr>
        <c:crossAx val="1414003152"/>
        <c:crosses val="autoZero"/>
        <c:auto val="1"/>
        <c:lblAlgn val="ctr"/>
        <c:lblOffset val="100"/>
        <c:noMultiLvlLbl val="0"/>
      </c:catAx>
      <c:valAx>
        <c:axId val="1414003152"/>
        <c:scaling>
          <c:orientation val="minMax"/>
        </c:scaling>
        <c:delete val="1"/>
        <c:axPos val="b"/>
        <c:numFmt formatCode="General" sourceLinked="1"/>
        <c:majorTickMark val="none"/>
        <c:minorTickMark val="none"/>
        <c:tickLblPos val="nextTo"/>
        <c:crossAx val="1413998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800" b="0" u="sng"/>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fld id="{64C14AF9-6C56-4C59-B403-8052D5C76FFB}" type="CELLRANGE">
                  <a:rPr lang="en-US"/>
                  <a:pPr>
                    <a:defRPr sz="4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2.6566314959202866E-3"/>
          <c:y val="4.5166867488789772E-2"/>
          <c:w val="0.99734342992939917"/>
          <c:h val="0.88919448193928974"/>
        </c:manualLayout>
      </c:layout>
      <c:barChart>
        <c:barDir val="bar"/>
        <c:grouping val="clustered"/>
        <c:varyColors val="0"/>
        <c:dLbls>
          <c:showLegendKey val="0"/>
          <c:showVal val="0"/>
          <c:showCatName val="0"/>
          <c:showSerName val="0"/>
          <c:showPercent val="0"/>
          <c:showBubbleSize val="0"/>
        </c:dLbls>
        <c:gapWidth val="0"/>
        <c:axId val="948629471"/>
        <c:axId val="948628031"/>
      </c:barChart>
      <c:catAx>
        <c:axId val="948629471"/>
        <c:scaling>
          <c:orientation val="minMax"/>
        </c:scaling>
        <c:delete val="1"/>
        <c:axPos val="l"/>
        <c:numFmt formatCode="General" sourceLinked="1"/>
        <c:majorTickMark val="none"/>
        <c:minorTickMark val="none"/>
        <c:tickLblPos val="nextTo"/>
        <c:crossAx val="948628031"/>
        <c:crosses val="autoZero"/>
        <c:auto val="1"/>
        <c:lblAlgn val="ctr"/>
        <c:lblOffset val="100"/>
        <c:noMultiLvlLbl val="0"/>
      </c:catAx>
      <c:valAx>
        <c:axId val="948628031"/>
        <c:scaling>
          <c:orientation val="minMax"/>
        </c:scaling>
        <c:delete val="1"/>
        <c:axPos val="b"/>
        <c:numFmt formatCode="General" sourceLinked="1"/>
        <c:majorTickMark val="none"/>
        <c:minorTickMark val="none"/>
        <c:tickLblPos val="nextTo"/>
        <c:crossAx val="948629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[Deshboard.xlsx]Pivot Report!PivotTable7</c:name>
    <c:fmtId val="5"/>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7.8916541646971612E-4"/>
          <c:y val="0.32887667550748112"/>
          <c:w val="0.99726047643429105"/>
          <c:h val="0.66370710392447752"/>
        </c:manualLayout>
      </c:layout>
      <c:barChart>
        <c:barDir val="bar"/>
        <c:grouping val="clustered"/>
        <c:varyColors val="0"/>
        <c:ser>
          <c:idx val="0"/>
          <c:order val="0"/>
          <c:tx>
            <c:strRef>
              <c:f>'Pivot Report'!$B$55</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9F3-4B0F-8324-1662325F8844}"/>
              </c:ext>
            </c:extLst>
          </c:dPt>
          <c:dPt>
            <c:idx val="1"/>
            <c:invertIfNegative val="0"/>
            <c:bubble3D val="0"/>
            <c:extLst>
              <c:ext xmlns:c16="http://schemas.microsoft.com/office/drawing/2014/chart" uri="{C3380CC4-5D6E-409C-BE32-E72D297353CC}">
                <c16:uniqueId val="{00000001-69F3-4B0F-8324-1662325F8844}"/>
              </c:ext>
            </c:extLst>
          </c:dPt>
          <c:cat>
            <c:strRef>
              <c:f>'Pivot Report'!$A$56:$A$58</c:f>
              <c:strCache>
                <c:ptCount val="2"/>
                <c:pt idx="0">
                  <c:v>Admitted</c:v>
                </c:pt>
                <c:pt idx="1">
                  <c:v>Not Admitted</c:v>
                </c:pt>
              </c:strCache>
            </c:strRef>
          </c:cat>
          <c:val>
            <c:numRef>
              <c:f>'Pivot Report'!$B$56:$B$58</c:f>
              <c:numCache>
                <c:formatCode>General</c:formatCode>
                <c:ptCount val="2"/>
                <c:pt idx="0">
                  <c:v>239</c:v>
                </c:pt>
                <c:pt idx="1">
                  <c:v>254</c:v>
                </c:pt>
              </c:numCache>
            </c:numRef>
          </c:val>
          <c:extLst>
            <c:ext xmlns:c16="http://schemas.microsoft.com/office/drawing/2014/chart" uri="{C3380CC4-5D6E-409C-BE32-E72D297353CC}">
              <c16:uniqueId val="{00000003-A981-4EDD-AA3A-57CB4F1A6552}"/>
            </c:ext>
          </c:extLst>
        </c:ser>
        <c:ser>
          <c:idx val="1"/>
          <c:order val="1"/>
          <c:tx>
            <c:strRef>
              <c:f>'Pivot Report'!$C$55</c:f>
              <c:strCache>
                <c:ptCount val="1"/>
                <c:pt idx="0">
                  <c:v>Count of Patient Admission Flag2</c:v>
                </c:pt>
              </c:strCache>
            </c:strRef>
          </c:tx>
          <c:spPr>
            <a:solidFill>
              <a:schemeClr val="accent2"/>
            </a:solidFill>
            <a:ln>
              <a:noFill/>
            </a:ln>
            <a:effectLst/>
          </c:spPr>
          <c:invertIfNegative val="0"/>
          <c:cat>
            <c:strRef>
              <c:f>'Pivot Report'!$A$56:$A$58</c:f>
              <c:strCache>
                <c:ptCount val="2"/>
                <c:pt idx="0">
                  <c:v>Admitted</c:v>
                </c:pt>
                <c:pt idx="1">
                  <c:v>Not Admitted</c:v>
                </c:pt>
              </c:strCache>
            </c:strRef>
          </c:cat>
          <c:val>
            <c:numRef>
              <c:f>'Pivot Report'!$C$56:$C$58</c:f>
              <c:numCache>
                <c:formatCode>0.00%</c:formatCode>
                <c:ptCount val="2"/>
                <c:pt idx="0">
                  <c:v>0.48478701825557807</c:v>
                </c:pt>
                <c:pt idx="1">
                  <c:v>0.51521298174442187</c:v>
                </c:pt>
              </c:numCache>
            </c:numRef>
          </c:val>
          <c:extLst>
            <c:ext xmlns:c16="http://schemas.microsoft.com/office/drawing/2014/chart" uri="{C3380CC4-5D6E-409C-BE32-E72D297353CC}">
              <c16:uniqueId val="{00000004-A981-4EDD-AA3A-57CB4F1A6552}"/>
            </c:ext>
          </c:extLst>
        </c:ser>
        <c:dLbls>
          <c:showLegendKey val="0"/>
          <c:showVal val="0"/>
          <c:showCatName val="0"/>
          <c:showSerName val="0"/>
          <c:showPercent val="0"/>
          <c:showBubbleSize val="0"/>
        </c:dLbls>
        <c:gapWidth val="0"/>
        <c:overlap val="-1"/>
        <c:axId val="1303450288"/>
        <c:axId val="1303446928"/>
      </c:barChart>
      <c:catAx>
        <c:axId val="1303450288"/>
        <c:scaling>
          <c:orientation val="minMax"/>
        </c:scaling>
        <c:delete val="1"/>
        <c:axPos val="l"/>
        <c:numFmt formatCode="General" sourceLinked="1"/>
        <c:majorTickMark val="none"/>
        <c:minorTickMark val="none"/>
        <c:tickLblPos val="nextTo"/>
        <c:crossAx val="1303446928"/>
        <c:crosses val="autoZero"/>
        <c:auto val="1"/>
        <c:lblAlgn val="ctr"/>
        <c:lblOffset val="100"/>
        <c:noMultiLvlLbl val="0"/>
      </c:catAx>
      <c:valAx>
        <c:axId val="1303446928"/>
        <c:scaling>
          <c:orientation val="minMax"/>
        </c:scaling>
        <c:delete val="1"/>
        <c:axPos val="b"/>
        <c:numFmt formatCode="General" sourceLinked="1"/>
        <c:majorTickMark val="none"/>
        <c:minorTickMark val="none"/>
        <c:tickLblPos val="nextTo"/>
        <c:crossAx val="1303450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[Deshboard.xlsx]Pivot Report!PivotTable5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3137251307038316E-3"/>
          <c:w val="1"/>
          <c:h val="0.99068627486929617"/>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Report'!$I$5:$I$36</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1-81BA-44DD-A298-1084B758470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52262175"/>
        <c:axId val="952257855"/>
      </c:areaChart>
      <c:catAx>
        <c:axId val="95226217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52257855"/>
        <c:crosses val="autoZero"/>
        <c:auto val="1"/>
        <c:lblAlgn val="ctr"/>
        <c:lblOffset val="100"/>
        <c:noMultiLvlLbl val="0"/>
      </c:catAx>
      <c:valAx>
        <c:axId val="952257855"/>
        <c:scaling>
          <c:orientation val="minMax"/>
        </c:scaling>
        <c:delete val="1"/>
        <c:axPos val="l"/>
        <c:numFmt formatCode="0.00" sourceLinked="1"/>
        <c:majorTickMark val="out"/>
        <c:minorTickMark val="none"/>
        <c:tickLblPos val="nextTo"/>
        <c:crossAx val="9522621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102537189894996E-2"/>
          <c:y val="5.1300732716822424E-3"/>
          <c:w val="0.93652676021358505"/>
          <c:h val="0.88556945978474533"/>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Report'!$E$5:$E$36</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1-4EEB-4616-8CDB-8CA28D7E95F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52258815"/>
        <c:axId val="952251615"/>
      </c:areaChart>
      <c:catAx>
        <c:axId val="9522588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52251615"/>
        <c:crosses val="autoZero"/>
        <c:auto val="1"/>
        <c:lblAlgn val="ctr"/>
        <c:lblOffset val="100"/>
        <c:noMultiLvlLbl val="0"/>
      </c:catAx>
      <c:valAx>
        <c:axId val="952251615"/>
        <c:scaling>
          <c:orientation val="minMax"/>
        </c:scaling>
        <c:delete val="1"/>
        <c:axPos val="l"/>
        <c:numFmt formatCode="General" sourceLinked="1"/>
        <c:majorTickMark val="out"/>
        <c:minorTickMark val="none"/>
        <c:tickLblPos val="nextTo"/>
        <c:crossAx val="9522588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[Deshboard.xlsx]Pivot Report!PivotTable6</c:name>
    <c:fmtId val="3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60124003966219E-2"/>
          <c:y val="0.17934497757145482"/>
          <c:w val="0.93672975378403245"/>
          <c:h val="0.6484472620449504"/>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Report'!$M$5:$M$36</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1-A627-4E8E-AC18-3B8EFA6CF0B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52251615"/>
        <c:axId val="952255455"/>
      </c:areaChart>
      <c:catAx>
        <c:axId val="9522516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52255455"/>
        <c:crosses val="autoZero"/>
        <c:auto val="1"/>
        <c:lblAlgn val="ctr"/>
        <c:lblOffset val="100"/>
        <c:noMultiLvlLbl val="0"/>
      </c:catAx>
      <c:valAx>
        <c:axId val="952255455"/>
        <c:scaling>
          <c:orientation val="minMax"/>
        </c:scaling>
        <c:delete val="1"/>
        <c:axPos val="l"/>
        <c:numFmt formatCode="0.00" sourceLinked="1"/>
        <c:majorTickMark val="out"/>
        <c:minorTickMark val="none"/>
        <c:tickLblPos val="nextTo"/>
        <c:crossAx val="9522516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ication core daily trend'!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e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ily ER No Of Patient'!A1"/></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Satisfication core daily tren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52754</xdr:colOff>
      <xdr:row>0</xdr:row>
      <xdr:rowOff>52886</xdr:rowOff>
    </xdr:from>
    <xdr:to>
      <xdr:col>5</xdr:col>
      <xdr:colOff>322384</xdr:colOff>
      <xdr:row>3</xdr:row>
      <xdr:rowOff>35302</xdr:rowOff>
    </xdr:to>
    <xdr:sp macro="" textlink="">
      <xdr:nvSpPr>
        <xdr:cNvPr id="2" name="Rectangle: Rounded Corners 1">
          <a:extLst>
            <a:ext uri="{FF2B5EF4-FFF2-40B4-BE49-F238E27FC236}">
              <a16:creationId xmlns:a16="http://schemas.microsoft.com/office/drawing/2014/main" id="{9D9C6D73-3686-728C-1FF3-7BE16AC94311}"/>
            </a:ext>
          </a:extLst>
        </xdr:cNvPr>
        <xdr:cNvSpPr/>
      </xdr:nvSpPr>
      <xdr:spPr>
        <a:xfrm>
          <a:off x="52754" y="52886"/>
          <a:ext cx="3392111" cy="53243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363415</xdr:colOff>
      <xdr:row>0</xdr:row>
      <xdr:rowOff>58616</xdr:rowOff>
    </xdr:from>
    <xdr:to>
      <xdr:col>7</xdr:col>
      <xdr:colOff>169985</xdr:colOff>
      <xdr:row>3</xdr:row>
      <xdr:rowOff>41032</xdr:rowOff>
    </xdr:to>
    <xdr:sp macro="" textlink="">
      <xdr:nvSpPr>
        <xdr:cNvPr id="3" name="Rectangle: Rounded Corners 2">
          <a:extLst>
            <a:ext uri="{FF2B5EF4-FFF2-40B4-BE49-F238E27FC236}">
              <a16:creationId xmlns:a16="http://schemas.microsoft.com/office/drawing/2014/main" id="{52A83F24-C9E4-65DD-0C42-79C8ABEDE6DA}"/>
            </a:ext>
          </a:extLst>
        </xdr:cNvPr>
        <xdr:cNvSpPr/>
      </xdr:nvSpPr>
      <xdr:spPr>
        <a:xfrm>
          <a:off x="3493477" y="58616"/>
          <a:ext cx="1025770" cy="52753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240322</xdr:colOff>
      <xdr:row>0</xdr:row>
      <xdr:rowOff>46892</xdr:rowOff>
    </xdr:from>
    <xdr:to>
      <xdr:col>9</xdr:col>
      <xdr:colOff>123092</xdr:colOff>
      <xdr:row>7</xdr:row>
      <xdr:rowOff>979</xdr:rowOff>
    </xdr:to>
    <xdr:sp macro="" textlink="">
      <xdr:nvSpPr>
        <xdr:cNvPr id="4" name="Rectangle: Rounded Corners 3">
          <a:extLst>
            <a:ext uri="{FF2B5EF4-FFF2-40B4-BE49-F238E27FC236}">
              <a16:creationId xmlns:a16="http://schemas.microsoft.com/office/drawing/2014/main" id="{EEB5A032-D04D-087F-2DD2-4F4E3BA93CAE}"/>
            </a:ext>
          </a:extLst>
        </xdr:cNvPr>
        <xdr:cNvSpPr/>
      </xdr:nvSpPr>
      <xdr:spPr>
        <a:xfrm>
          <a:off x="4577420" y="46892"/>
          <a:ext cx="1097386" cy="1236476"/>
        </a:xfrm>
        <a:prstGeom prst="roundRect">
          <a:avLst>
            <a:gd name="adj" fmla="val 926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9</xdr:col>
      <xdr:colOff>187569</xdr:colOff>
      <xdr:row>0</xdr:row>
      <xdr:rowOff>46892</xdr:rowOff>
    </xdr:from>
    <xdr:to>
      <xdr:col>11</xdr:col>
      <xdr:colOff>53774</xdr:colOff>
      <xdr:row>6</xdr:row>
      <xdr:rowOff>175846</xdr:rowOff>
    </xdr:to>
    <xdr:sp macro="" textlink="">
      <xdr:nvSpPr>
        <xdr:cNvPr id="5" name="Rectangle: Rounded Corners 4">
          <a:extLst>
            <a:ext uri="{FF2B5EF4-FFF2-40B4-BE49-F238E27FC236}">
              <a16:creationId xmlns:a16="http://schemas.microsoft.com/office/drawing/2014/main" id="{5A6041CF-959C-6247-01E0-D6205344233E}"/>
            </a:ext>
          </a:extLst>
        </xdr:cNvPr>
        <xdr:cNvSpPr/>
      </xdr:nvSpPr>
      <xdr:spPr>
        <a:xfrm>
          <a:off x="5756031" y="46892"/>
          <a:ext cx="1101970" cy="1219200"/>
        </a:xfrm>
        <a:prstGeom prst="roundRect">
          <a:avLst>
            <a:gd name="adj" fmla="val 802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63022</xdr:colOff>
      <xdr:row>3</xdr:row>
      <xdr:rowOff>114587</xdr:rowOff>
    </xdr:from>
    <xdr:to>
      <xdr:col>1</xdr:col>
      <xdr:colOff>148963</xdr:colOff>
      <xdr:row>20</xdr:row>
      <xdr:rowOff>99646</xdr:rowOff>
    </xdr:to>
    <xdr:sp macro="" textlink="">
      <xdr:nvSpPr>
        <xdr:cNvPr id="6" name="Rectangle: Rounded Corners 5">
          <a:extLst>
            <a:ext uri="{FF2B5EF4-FFF2-40B4-BE49-F238E27FC236}">
              <a16:creationId xmlns:a16="http://schemas.microsoft.com/office/drawing/2014/main" id="{26686484-6D73-DE0B-90ED-0DD36326ECC4}"/>
            </a:ext>
          </a:extLst>
        </xdr:cNvPr>
        <xdr:cNvSpPr/>
      </xdr:nvSpPr>
      <xdr:spPr>
        <a:xfrm>
          <a:off x="63022" y="664602"/>
          <a:ext cx="779189" cy="3101811"/>
        </a:xfrm>
        <a:prstGeom prst="roundRect">
          <a:avLst>
            <a:gd name="adj" fmla="val 731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263504</xdr:colOff>
      <xdr:row>3</xdr:row>
      <xdr:rowOff>99910</xdr:rowOff>
    </xdr:from>
    <xdr:to>
      <xdr:col>3</xdr:col>
      <xdr:colOff>165872</xdr:colOff>
      <xdr:row>7</xdr:row>
      <xdr:rowOff>6126</xdr:rowOff>
    </xdr:to>
    <xdr:sp macro="" textlink="">
      <xdr:nvSpPr>
        <xdr:cNvPr id="7" name="Rectangle: Rounded Corners 6">
          <a:extLst>
            <a:ext uri="{FF2B5EF4-FFF2-40B4-BE49-F238E27FC236}">
              <a16:creationId xmlns:a16="http://schemas.microsoft.com/office/drawing/2014/main" id="{920133D7-C9C2-6DC0-53B0-ADB8ECCD52F0}"/>
            </a:ext>
          </a:extLst>
        </xdr:cNvPr>
        <xdr:cNvSpPr/>
      </xdr:nvSpPr>
      <xdr:spPr>
        <a:xfrm>
          <a:off x="956752" y="649925"/>
          <a:ext cx="1116985" cy="639569"/>
        </a:xfrm>
        <a:prstGeom prst="roundRect">
          <a:avLst>
            <a:gd name="adj" fmla="val 443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3</xdr:col>
      <xdr:colOff>239447</xdr:colOff>
      <xdr:row>3</xdr:row>
      <xdr:rowOff>105639</xdr:rowOff>
    </xdr:from>
    <xdr:to>
      <xdr:col>5</xdr:col>
      <xdr:colOff>141815</xdr:colOff>
      <xdr:row>7</xdr:row>
      <xdr:rowOff>11855</xdr:rowOff>
    </xdr:to>
    <xdr:sp macro="" textlink="">
      <xdr:nvSpPr>
        <xdr:cNvPr id="8" name="Rectangle: Rounded Corners 7">
          <a:extLst>
            <a:ext uri="{FF2B5EF4-FFF2-40B4-BE49-F238E27FC236}">
              <a16:creationId xmlns:a16="http://schemas.microsoft.com/office/drawing/2014/main" id="{30F1ACB1-25E4-AB3D-F1B0-011C1CD53948}"/>
            </a:ext>
          </a:extLst>
        </xdr:cNvPr>
        <xdr:cNvSpPr/>
      </xdr:nvSpPr>
      <xdr:spPr>
        <a:xfrm>
          <a:off x="2147312" y="655654"/>
          <a:ext cx="1116984" cy="639569"/>
        </a:xfrm>
        <a:prstGeom prst="roundRect">
          <a:avLst>
            <a:gd name="adj" fmla="val 443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244170</xdr:colOff>
      <xdr:row>3</xdr:row>
      <xdr:rowOff>122752</xdr:rowOff>
    </xdr:from>
    <xdr:to>
      <xdr:col>7</xdr:col>
      <xdr:colOff>187739</xdr:colOff>
      <xdr:row>7</xdr:row>
      <xdr:rowOff>28968</xdr:rowOff>
    </xdr:to>
    <xdr:sp macro="" textlink="">
      <xdr:nvSpPr>
        <xdr:cNvPr id="9" name="Rectangle: Rounded Corners 8">
          <a:extLst>
            <a:ext uri="{FF2B5EF4-FFF2-40B4-BE49-F238E27FC236}">
              <a16:creationId xmlns:a16="http://schemas.microsoft.com/office/drawing/2014/main" id="{6C40E921-A678-D373-FB6F-027E405CAF3E}"/>
            </a:ext>
          </a:extLst>
        </xdr:cNvPr>
        <xdr:cNvSpPr/>
      </xdr:nvSpPr>
      <xdr:spPr>
        <a:xfrm>
          <a:off x="3369474" y="669404"/>
          <a:ext cx="1158352" cy="635086"/>
        </a:xfrm>
        <a:prstGeom prst="roundRect">
          <a:avLst>
            <a:gd name="adj" fmla="val 443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252046</xdr:colOff>
      <xdr:row>11</xdr:row>
      <xdr:rowOff>93784</xdr:rowOff>
    </xdr:from>
    <xdr:to>
      <xdr:col>7</xdr:col>
      <xdr:colOff>181707</xdr:colOff>
      <xdr:row>20</xdr:row>
      <xdr:rowOff>76200</xdr:rowOff>
    </xdr:to>
    <xdr:sp macro="" textlink="">
      <xdr:nvSpPr>
        <xdr:cNvPr id="13" name="Rectangle: Rounded Corners 12">
          <a:extLst>
            <a:ext uri="{FF2B5EF4-FFF2-40B4-BE49-F238E27FC236}">
              <a16:creationId xmlns:a16="http://schemas.microsoft.com/office/drawing/2014/main" id="{BFA62C7C-4E6C-D83F-14B2-6A713B1F9DD8}"/>
            </a:ext>
          </a:extLst>
        </xdr:cNvPr>
        <xdr:cNvSpPr/>
      </xdr:nvSpPr>
      <xdr:spPr>
        <a:xfrm>
          <a:off x="943708" y="2092569"/>
          <a:ext cx="3587261" cy="1617785"/>
        </a:xfrm>
        <a:prstGeom prst="roundRect">
          <a:avLst>
            <a:gd name="adj" fmla="val 443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246316</xdr:colOff>
      <xdr:row>7</xdr:row>
      <xdr:rowOff>76199</xdr:rowOff>
    </xdr:from>
    <xdr:to>
      <xdr:col>7</xdr:col>
      <xdr:colOff>175977</xdr:colOff>
      <xdr:row>11</xdr:row>
      <xdr:rowOff>29307</xdr:rowOff>
    </xdr:to>
    <xdr:sp macro="" textlink="">
      <xdr:nvSpPr>
        <xdr:cNvPr id="14" name="Rectangle: Rounded Corners 13">
          <a:extLst>
            <a:ext uri="{FF2B5EF4-FFF2-40B4-BE49-F238E27FC236}">
              <a16:creationId xmlns:a16="http://schemas.microsoft.com/office/drawing/2014/main" id="{1D75DD41-AB3E-A19E-FA23-C6CB45C582AB}"/>
            </a:ext>
          </a:extLst>
        </xdr:cNvPr>
        <xdr:cNvSpPr/>
      </xdr:nvSpPr>
      <xdr:spPr>
        <a:xfrm>
          <a:off x="939564" y="1359567"/>
          <a:ext cx="3573511" cy="686462"/>
        </a:xfrm>
        <a:prstGeom prst="roundRect">
          <a:avLst>
            <a:gd name="adj" fmla="val 443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7</xdr:col>
      <xdr:colOff>140676</xdr:colOff>
      <xdr:row>0</xdr:row>
      <xdr:rowOff>64477</xdr:rowOff>
    </xdr:from>
    <xdr:to>
      <xdr:col>7</xdr:col>
      <xdr:colOff>146538</xdr:colOff>
      <xdr:row>0</xdr:row>
      <xdr:rowOff>87923</xdr:rowOff>
    </xdr:to>
    <xdr:cxnSp macro="">
      <xdr:nvCxnSpPr>
        <xdr:cNvPr id="18" name="Straight Connector 17">
          <a:extLst>
            <a:ext uri="{FF2B5EF4-FFF2-40B4-BE49-F238E27FC236}">
              <a16:creationId xmlns:a16="http://schemas.microsoft.com/office/drawing/2014/main" id="{8B6D6187-7137-D185-4906-64F077185679}"/>
            </a:ext>
          </a:extLst>
        </xdr:cNvPr>
        <xdr:cNvCxnSpPr/>
      </xdr:nvCxnSpPr>
      <xdr:spPr>
        <a:xfrm>
          <a:off x="4489938" y="64477"/>
          <a:ext cx="5862" cy="234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252046</xdr:colOff>
      <xdr:row>7</xdr:row>
      <xdr:rowOff>76614</xdr:rowOff>
    </xdr:from>
    <xdr:to>
      <xdr:col>11</xdr:col>
      <xdr:colOff>53774</xdr:colOff>
      <xdr:row>20</xdr:row>
      <xdr:rowOff>88337</xdr:rowOff>
    </xdr:to>
    <xdr:sp macro="" textlink="">
      <xdr:nvSpPr>
        <xdr:cNvPr id="21" name="Rectangle: Rounded Corners 20">
          <a:extLst>
            <a:ext uri="{FF2B5EF4-FFF2-40B4-BE49-F238E27FC236}">
              <a16:creationId xmlns:a16="http://schemas.microsoft.com/office/drawing/2014/main" id="{5F713EF1-0E43-9192-6BA7-6C62D622B873}"/>
            </a:ext>
          </a:extLst>
        </xdr:cNvPr>
        <xdr:cNvSpPr/>
      </xdr:nvSpPr>
      <xdr:spPr>
        <a:xfrm>
          <a:off x="4620046" y="1336614"/>
          <a:ext cx="2266293" cy="2351723"/>
        </a:xfrm>
        <a:prstGeom prst="roundRect">
          <a:avLst>
            <a:gd name="adj" fmla="val 802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xdr:col>
      <xdr:colOff>108857</xdr:colOff>
      <xdr:row>0</xdr:row>
      <xdr:rowOff>120316</xdr:rowOff>
    </xdr:from>
    <xdr:to>
      <xdr:col>5</xdr:col>
      <xdr:colOff>200526</xdr:colOff>
      <xdr:row>2</xdr:row>
      <xdr:rowOff>5729</xdr:rowOff>
    </xdr:to>
    <xdr:sp macro="" textlink="">
      <xdr:nvSpPr>
        <xdr:cNvPr id="25" name="TextBox 24">
          <a:extLst>
            <a:ext uri="{FF2B5EF4-FFF2-40B4-BE49-F238E27FC236}">
              <a16:creationId xmlns:a16="http://schemas.microsoft.com/office/drawing/2014/main" id="{B95AE727-001C-CED3-9AC5-B82AA050E41E}"/>
            </a:ext>
          </a:extLst>
        </xdr:cNvPr>
        <xdr:cNvSpPr txBox="1"/>
      </xdr:nvSpPr>
      <xdr:spPr>
        <a:xfrm>
          <a:off x="802105" y="120316"/>
          <a:ext cx="2520902" cy="252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kern="1200">
              <a:solidFill>
                <a:schemeClr val="tx1">
                  <a:lumMod val="95000"/>
                  <a:lumOff val="5000"/>
                </a:schemeClr>
              </a:solidFill>
            </a:rPr>
            <a:t>Hosipital  Emergency  Room  Deshboard</a:t>
          </a:r>
        </a:p>
      </xdr:txBody>
    </xdr:sp>
    <xdr:clientData/>
  </xdr:twoCellAnchor>
  <xdr:twoCellAnchor editAs="oneCell">
    <xdr:from>
      <xdr:col>0</xdr:col>
      <xdr:colOff>148961</xdr:colOff>
      <xdr:row>0</xdr:row>
      <xdr:rowOff>108857</xdr:rowOff>
    </xdr:from>
    <xdr:to>
      <xdr:col>1</xdr:col>
      <xdr:colOff>51564</xdr:colOff>
      <xdr:row>3</xdr:row>
      <xdr:rowOff>27488</xdr:rowOff>
    </xdr:to>
    <xdr:pic>
      <xdr:nvPicPr>
        <xdr:cNvPr id="27" name="Picture 26">
          <a:extLst>
            <a:ext uri="{FF2B5EF4-FFF2-40B4-BE49-F238E27FC236}">
              <a16:creationId xmlns:a16="http://schemas.microsoft.com/office/drawing/2014/main" id="{1365EF6D-627D-4072-780E-A669CE5488C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152" t="13829" r="21519" b="11702"/>
        <a:stretch/>
      </xdr:blipFill>
      <xdr:spPr>
        <a:xfrm>
          <a:off x="148961" y="108857"/>
          <a:ext cx="595851" cy="468646"/>
        </a:xfrm>
        <a:prstGeom prst="rect">
          <a:avLst/>
        </a:prstGeom>
      </xdr:spPr>
    </xdr:pic>
    <xdr:clientData/>
  </xdr:twoCellAnchor>
  <xdr:twoCellAnchor>
    <xdr:from>
      <xdr:col>2</xdr:col>
      <xdr:colOff>89378</xdr:colOff>
      <xdr:row>1</xdr:row>
      <xdr:rowOff>72190</xdr:rowOff>
    </xdr:from>
    <xdr:to>
      <xdr:col>3</xdr:col>
      <xdr:colOff>521369</xdr:colOff>
      <xdr:row>2</xdr:row>
      <xdr:rowOff>80210</xdr:rowOff>
    </xdr:to>
    <xdr:sp macro="" textlink="">
      <xdr:nvSpPr>
        <xdr:cNvPr id="28" name="TextBox 27">
          <a:extLst>
            <a:ext uri="{FF2B5EF4-FFF2-40B4-BE49-F238E27FC236}">
              <a16:creationId xmlns:a16="http://schemas.microsoft.com/office/drawing/2014/main" id="{4040E7FB-8D6D-1071-431A-BE5EA6E239EA}"/>
            </a:ext>
          </a:extLst>
        </xdr:cNvPr>
        <xdr:cNvSpPr txBox="1"/>
      </xdr:nvSpPr>
      <xdr:spPr>
        <a:xfrm>
          <a:off x="1389934" y="255528"/>
          <a:ext cx="1039300" cy="191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kern="1200"/>
            <a:t>Monthely</a:t>
          </a:r>
          <a:r>
            <a:rPr lang="en-IN" sz="1100" b="1" kern="1200" baseline="0"/>
            <a:t> Report</a:t>
          </a:r>
          <a:endParaRPr lang="en-IN" sz="1100" b="1" kern="1200"/>
        </a:p>
      </xdr:txBody>
    </xdr:sp>
    <xdr:clientData/>
  </xdr:twoCellAnchor>
  <xdr:twoCellAnchor>
    <xdr:from>
      <xdr:col>1</xdr:col>
      <xdr:colOff>418240</xdr:colOff>
      <xdr:row>5</xdr:row>
      <xdr:rowOff>34375</xdr:rowOff>
    </xdr:from>
    <xdr:to>
      <xdr:col>3</xdr:col>
      <xdr:colOff>51564</xdr:colOff>
      <xdr:row>6</xdr:row>
      <xdr:rowOff>14896</xdr:rowOff>
    </xdr:to>
    <xdr:sp macro="" textlink="">
      <xdr:nvSpPr>
        <xdr:cNvPr id="29" name="TextBox 28">
          <a:extLst>
            <a:ext uri="{FF2B5EF4-FFF2-40B4-BE49-F238E27FC236}">
              <a16:creationId xmlns:a16="http://schemas.microsoft.com/office/drawing/2014/main" id="{C9CFED49-1130-8FE8-7B66-A0A989B69D42}"/>
            </a:ext>
          </a:extLst>
        </xdr:cNvPr>
        <xdr:cNvSpPr txBox="1"/>
      </xdr:nvSpPr>
      <xdr:spPr>
        <a:xfrm>
          <a:off x="1111488" y="951067"/>
          <a:ext cx="847941" cy="163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1" kern="1200"/>
            <a:t>NO.</a:t>
          </a:r>
          <a:r>
            <a:rPr lang="en-IN" sz="1050" b="1" kern="1200" baseline="0"/>
            <a:t> Of Patient</a:t>
          </a:r>
          <a:endParaRPr lang="en-IN" sz="1050" b="1" kern="1200"/>
        </a:p>
      </xdr:txBody>
    </xdr:sp>
    <xdr:clientData/>
  </xdr:twoCellAnchor>
  <xdr:twoCellAnchor>
    <xdr:from>
      <xdr:col>2</xdr:col>
      <xdr:colOff>74482</xdr:colOff>
      <xdr:row>4</xdr:row>
      <xdr:rowOff>50419</xdr:rowOff>
    </xdr:from>
    <xdr:to>
      <xdr:col>2</xdr:col>
      <xdr:colOff>406783</xdr:colOff>
      <xdr:row>5</xdr:row>
      <xdr:rowOff>58439</xdr:rowOff>
    </xdr:to>
    <xdr:sp macro="" textlink="'Pivot Report'!A5">
      <xdr:nvSpPr>
        <xdr:cNvPr id="30" name="TextBox 29">
          <a:extLst>
            <a:ext uri="{FF2B5EF4-FFF2-40B4-BE49-F238E27FC236}">
              <a16:creationId xmlns:a16="http://schemas.microsoft.com/office/drawing/2014/main" id="{954B626E-9B63-59E7-34AE-CEFF9AC01D4D}"/>
            </a:ext>
          </a:extLst>
        </xdr:cNvPr>
        <xdr:cNvSpPr txBox="1"/>
      </xdr:nvSpPr>
      <xdr:spPr>
        <a:xfrm>
          <a:off x="1375038" y="783772"/>
          <a:ext cx="332301" cy="191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D2B7835-7C73-401B-9347-59F025577EB7}" type="TxLink">
            <a:rPr lang="en-US" sz="1100" b="1" i="0" u="none" strike="noStrike" kern="1200">
              <a:solidFill>
                <a:srgbClr val="000000"/>
              </a:solidFill>
              <a:latin typeface="Calibri"/>
              <a:ea typeface="Calibri"/>
              <a:cs typeface="Calibri"/>
            </a:rPr>
            <a:pPr/>
            <a:t>493</a:t>
          </a:fld>
          <a:endParaRPr lang="en-IN" sz="1100" b="1" kern="1200"/>
        </a:p>
      </xdr:txBody>
    </xdr:sp>
    <xdr:clientData/>
  </xdr:twoCellAnchor>
  <xdr:twoCellAnchor>
    <xdr:from>
      <xdr:col>3</xdr:col>
      <xdr:colOff>263549</xdr:colOff>
      <xdr:row>5</xdr:row>
      <xdr:rowOff>22917</xdr:rowOff>
    </xdr:from>
    <xdr:to>
      <xdr:col>5</xdr:col>
      <xdr:colOff>183339</xdr:colOff>
      <xdr:row>6</xdr:row>
      <xdr:rowOff>5729</xdr:rowOff>
    </xdr:to>
    <xdr:sp macro="" textlink="">
      <xdr:nvSpPr>
        <xdr:cNvPr id="32" name="TextBox 31">
          <a:extLst>
            <a:ext uri="{FF2B5EF4-FFF2-40B4-BE49-F238E27FC236}">
              <a16:creationId xmlns:a16="http://schemas.microsoft.com/office/drawing/2014/main" id="{42F994C5-0E09-15DB-E1F1-FA0B3910B1F2}"/>
            </a:ext>
          </a:extLst>
        </xdr:cNvPr>
        <xdr:cNvSpPr txBox="1"/>
      </xdr:nvSpPr>
      <xdr:spPr>
        <a:xfrm>
          <a:off x="2171414" y="939609"/>
          <a:ext cx="1134406" cy="16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kern="1200"/>
            <a:t>Average Wait Time</a:t>
          </a:r>
        </a:p>
      </xdr:txBody>
    </xdr:sp>
    <xdr:clientData/>
  </xdr:twoCellAnchor>
  <xdr:twoCellAnchor>
    <xdr:from>
      <xdr:col>4</xdr:col>
      <xdr:colOff>5730</xdr:colOff>
      <xdr:row>4</xdr:row>
      <xdr:rowOff>50418</xdr:rowOff>
    </xdr:from>
    <xdr:to>
      <xdr:col>4</xdr:col>
      <xdr:colOff>338031</xdr:colOff>
      <xdr:row>5</xdr:row>
      <xdr:rowOff>34376</xdr:rowOff>
    </xdr:to>
    <xdr:sp macro="" textlink="'Pivot Report'!A9">
      <xdr:nvSpPr>
        <xdr:cNvPr id="33" name="TextBox 32">
          <a:extLst>
            <a:ext uri="{FF2B5EF4-FFF2-40B4-BE49-F238E27FC236}">
              <a16:creationId xmlns:a16="http://schemas.microsoft.com/office/drawing/2014/main" id="{785AD4A6-9D03-21BB-3BF1-37798EF4956C}"/>
            </a:ext>
          </a:extLst>
        </xdr:cNvPr>
        <xdr:cNvSpPr txBox="1"/>
      </xdr:nvSpPr>
      <xdr:spPr>
        <a:xfrm>
          <a:off x="2520903" y="783771"/>
          <a:ext cx="332301" cy="167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0ABADA6-342C-4C54-8117-D65AE456B01D}" type="TxLink">
            <a:rPr lang="en-US" sz="1100" b="1" i="0" u="none" strike="noStrike" kern="1200">
              <a:solidFill>
                <a:srgbClr val="000000"/>
              </a:solidFill>
              <a:latin typeface="Calibri"/>
              <a:ea typeface="Calibri"/>
              <a:cs typeface="Calibri"/>
            </a:rPr>
            <a:pPr/>
            <a:t>34.93</a:t>
          </a:fld>
          <a:endParaRPr lang="en-IN" sz="1100" b="1" kern="1200"/>
        </a:p>
      </xdr:txBody>
    </xdr:sp>
    <xdr:clientData/>
  </xdr:twoCellAnchor>
  <xdr:twoCellAnchor>
    <xdr:from>
      <xdr:col>5</xdr:col>
      <xdr:colOff>291926</xdr:colOff>
      <xdr:row>5</xdr:row>
      <xdr:rowOff>22646</xdr:rowOff>
    </xdr:from>
    <xdr:to>
      <xdr:col>7</xdr:col>
      <xdr:colOff>168000</xdr:colOff>
      <xdr:row>6</xdr:row>
      <xdr:rowOff>54731</xdr:rowOff>
    </xdr:to>
    <xdr:sp macro="" textlink="">
      <xdr:nvSpPr>
        <xdr:cNvPr id="37" name="TextBox 36">
          <a:extLst>
            <a:ext uri="{FF2B5EF4-FFF2-40B4-BE49-F238E27FC236}">
              <a16:creationId xmlns:a16="http://schemas.microsoft.com/office/drawing/2014/main" id="{15E1703F-C9E5-5D6E-A854-C9CDBB847997}"/>
            </a:ext>
          </a:extLst>
        </xdr:cNvPr>
        <xdr:cNvSpPr txBox="1"/>
      </xdr:nvSpPr>
      <xdr:spPr>
        <a:xfrm>
          <a:off x="3435926" y="922646"/>
          <a:ext cx="1100074" cy="212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kern="1200"/>
            <a:t>Satisfaction</a:t>
          </a:r>
          <a:r>
            <a:rPr lang="en-IN" sz="1100" b="1" kern="1200" baseline="0"/>
            <a:t> Score</a:t>
          </a:r>
          <a:endParaRPr lang="en-IN" sz="1100" b="1" kern="1200"/>
        </a:p>
      </xdr:txBody>
    </xdr:sp>
    <xdr:clientData/>
  </xdr:twoCellAnchor>
  <xdr:twoCellAnchor>
    <xdr:from>
      <xdr:col>6</xdr:col>
      <xdr:colOff>40106</xdr:colOff>
      <xdr:row>4</xdr:row>
      <xdr:rowOff>50419</xdr:rowOff>
    </xdr:from>
    <xdr:to>
      <xdr:col>6</xdr:col>
      <xdr:colOff>372407</xdr:colOff>
      <xdr:row>5</xdr:row>
      <xdr:rowOff>58439</xdr:rowOff>
    </xdr:to>
    <xdr:sp macro="" textlink="'Pivot Report'!A12">
      <xdr:nvSpPr>
        <xdr:cNvPr id="38" name="TextBox 37">
          <a:extLst>
            <a:ext uri="{FF2B5EF4-FFF2-40B4-BE49-F238E27FC236}">
              <a16:creationId xmlns:a16="http://schemas.microsoft.com/office/drawing/2014/main" id="{790ECB8E-D2EA-56B5-BF66-10A39B2D1675}"/>
            </a:ext>
          </a:extLst>
        </xdr:cNvPr>
        <xdr:cNvSpPr txBox="1"/>
      </xdr:nvSpPr>
      <xdr:spPr>
        <a:xfrm>
          <a:off x="3769895" y="783772"/>
          <a:ext cx="332301" cy="191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CC60895-1097-4D3D-A35C-A1488A061BB6}" type="TxLink">
            <a:rPr lang="en-US" sz="1100" b="1" i="0" u="none" strike="noStrike" kern="1200">
              <a:solidFill>
                <a:srgbClr val="000000"/>
              </a:solidFill>
              <a:latin typeface="Calibri"/>
              <a:ea typeface="Calibri"/>
              <a:cs typeface="Calibri"/>
            </a:rPr>
            <a:pPr/>
            <a:t>4.74</a:t>
          </a:fld>
          <a:endParaRPr lang="en-IN" sz="1100" b="1" kern="1200"/>
        </a:p>
      </xdr:txBody>
    </xdr:sp>
    <xdr:clientData/>
  </xdr:twoCellAnchor>
  <xdr:twoCellAnchor editAs="oneCell">
    <xdr:from>
      <xdr:col>5</xdr:col>
      <xdr:colOff>360948</xdr:colOff>
      <xdr:row>3</xdr:row>
      <xdr:rowOff>177612</xdr:rowOff>
    </xdr:from>
    <xdr:to>
      <xdr:col>5</xdr:col>
      <xdr:colOff>590119</xdr:colOff>
      <xdr:row>5</xdr:row>
      <xdr:rowOff>40106</xdr:rowOff>
    </xdr:to>
    <xdr:pic>
      <xdr:nvPicPr>
        <xdr:cNvPr id="42" name="Graphic 41" descr="Stars with solid fill">
          <a:extLst>
            <a:ext uri="{FF2B5EF4-FFF2-40B4-BE49-F238E27FC236}">
              <a16:creationId xmlns:a16="http://schemas.microsoft.com/office/drawing/2014/main" id="{2990EFF3-F3E6-A0F9-EA39-7B2F2539F3D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483429" y="727627"/>
          <a:ext cx="229171" cy="229171"/>
        </a:xfrm>
        <a:prstGeom prst="rect">
          <a:avLst/>
        </a:prstGeom>
      </xdr:spPr>
    </xdr:pic>
    <xdr:clientData/>
  </xdr:twoCellAnchor>
  <xdr:twoCellAnchor editAs="oneCell">
    <xdr:from>
      <xdr:col>3</xdr:col>
      <xdr:colOff>320841</xdr:colOff>
      <xdr:row>3</xdr:row>
      <xdr:rowOff>160421</xdr:rowOff>
    </xdr:from>
    <xdr:to>
      <xdr:col>3</xdr:col>
      <xdr:colOff>576368</xdr:colOff>
      <xdr:row>5</xdr:row>
      <xdr:rowOff>49271</xdr:rowOff>
    </xdr:to>
    <xdr:pic>
      <xdr:nvPicPr>
        <xdr:cNvPr id="44" name="Graphic 43" descr="Hourglass Finished with solid fill">
          <a:extLst>
            <a:ext uri="{FF2B5EF4-FFF2-40B4-BE49-F238E27FC236}">
              <a16:creationId xmlns:a16="http://schemas.microsoft.com/office/drawing/2014/main" id="{5C734D58-8E60-D984-7AC0-15B62D62D9B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28706" y="710436"/>
          <a:ext cx="255527" cy="255527"/>
        </a:xfrm>
        <a:prstGeom prst="rect">
          <a:avLst/>
        </a:prstGeom>
      </xdr:spPr>
    </xdr:pic>
    <xdr:clientData/>
  </xdr:twoCellAnchor>
  <xdr:twoCellAnchor editAs="oneCell">
    <xdr:from>
      <xdr:col>1</xdr:col>
      <xdr:colOff>303655</xdr:colOff>
      <xdr:row>3</xdr:row>
      <xdr:rowOff>143233</xdr:rowOff>
    </xdr:from>
    <xdr:to>
      <xdr:col>2</xdr:col>
      <xdr:colOff>5730</xdr:colOff>
      <xdr:row>5</xdr:row>
      <xdr:rowOff>85939</xdr:rowOff>
    </xdr:to>
    <xdr:pic>
      <xdr:nvPicPr>
        <xdr:cNvPr id="46" name="Graphic 45" descr="Sleep with solid fill">
          <a:extLst>
            <a:ext uri="{FF2B5EF4-FFF2-40B4-BE49-F238E27FC236}">
              <a16:creationId xmlns:a16="http://schemas.microsoft.com/office/drawing/2014/main" id="{92B385F9-D1D3-B4FA-FD6E-26EA110013C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96903" y="693248"/>
          <a:ext cx="309383" cy="309383"/>
        </a:xfrm>
        <a:prstGeom prst="rect">
          <a:avLst/>
        </a:prstGeom>
      </xdr:spPr>
    </xdr:pic>
    <xdr:clientData/>
  </xdr:twoCellAnchor>
  <xdr:twoCellAnchor editAs="oneCell">
    <xdr:from>
      <xdr:col>0</xdr:col>
      <xdr:colOff>63023</xdr:colOff>
      <xdr:row>3</xdr:row>
      <xdr:rowOff>126045</xdr:rowOff>
    </xdr:from>
    <xdr:to>
      <xdr:col>1</xdr:col>
      <xdr:colOff>146972</xdr:colOff>
      <xdr:row>20</xdr:row>
      <xdr:rowOff>91669</xdr:rowOff>
    </xdr:to>
    <mc:AlternateContent xmlns:mc="http://schemas.openxmlformats.org/markup-compatibility/2006" xmlns:a14="http://schemas.microsoft.com/office/drawing/2010/main">
      <mc:Choice Requires="a14">
        <xdr:graphicFrame macro="">
          <xdr:nvGraphicFramePr>
            <xdr:cNvPr id="47" name="Date (Month) 1">
              <a:extLst>
                <a:ext uri="{FF2B5EF4-FFF2-40B4-BE49-F238E27FC236}">
                  <a16:creationId xmlns:a16="http://schemas.microsoft.com/office/drawing/2014/main" id="{60564C10-8A9A-4BD4-A754-A2B7F1787B0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3023" y="672697"/>
              <a:ext cx="779688" cy="3063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189068</xdr:colOff>
      <xdr:row>5</xdr:row>
      <xdr:rowOff>168000</xdr:rowOff>
    </xdr:from>
    <xdr:to>
      <xdr:col>3</xdr:col>
      <xdr:colOff>194797</xdr:colOff>
      <xdr:row>7</xdr:row>
      <xdr:rowOff>54000</xdr:rowOff>
    </xdr:to>
    <xdr:graphicFrame macro="">
      <xdr:nvGraphicFramePr>
        <xdr:cNvPr id="48" name="Chart 47">
          <a:hlinkClick xmlns:r="http://schemas.openxmlformats.org/officeDocument/2006/relationships" r:id="rId8"/>
          <a:extLst>
            <a:ext uri="{FF2B5EF4-FFF2-40B4-BE49-F238E27FC236}">
              <a16:creationId xmlns:a16="http://schemas.microsoft.com/office/drawing/2014/main" id="{0AD4778E-2B4B-4B2D-A91F-D52941D9F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245177</xdr:colOff>
      <xdr:row>5</xdr:row>
      <xdr:rowOff>148962</xdr:rowOff>
    </xdr:from>
    <xdr:to>
      <xdr:col>5</xdr:col>
      <xdr:colOff>143234</xdr:colOff>
      <xdr:row>7</xdr:row>
      <xdr:rowOff>17188</xdr:rowOff>
    </xdr:to>
    <xdr:graphicFrame macro="">
      <xdr:nvGraphicFramePr>
        <xdr:cNvPr id="50" name="Chart 49">
          <a:hlinkClick xmlns:r="http://schemas.openxmlformats.org/officeDocument/2006/relationships" r:id="rId10"/>
          <a:extLst>
            <a:ext uri="{FF2B5EF4-FFF2-40B4-BE49-F238E27FC236}">
              <a16:creationId xmlns:a16="http://schemas.microsoft.com/office/drawing/2014/main" id="{93003697-2D1C-4F53-8276-43A66F2BB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242955</xdr:colOff>
      <xdr:row>5</xdr:row>
      <xdr:rowOff>162000</xdr:rowOff>
    </xdr:from>
    <xdr:to>
      <xdr:col>7</xdr:col>
      <xdr:colOff>176696</xdr:colOff>
      <xdr:row>7</xdr:row>
      <xdr:rowOff>24452</xdr:rowOff>
    </xdr:to>
    <xdr:graphicFrame macro="">
      <xdr:nvGraphicFramePr>
        <xdr:cNvPr id="51" name="Chart 50">
          <a:hlinkClick xmlns:r="http://schemas.openxmlformats.org/officeDocument/2006/relationships" r:id="rId12"/>
          <a:extLst>
            <a:ext uri="{FF2B5EF4-FFF2-40B4-BE49-F238E27FC236}">
              <a16:creationId xmlns:a16="http://schemas.microsoft.com/office/drawing/2014/main" id="{698C2563-9BD6-45A9-8B3C-284747155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248477</xdr:colOff>
          <xdr:row>7</xdr:row>
          <xdr:rowOff>56148</xdr:rowOff>
        </xdr:from>
        <xdr:to>
          <xdr:col>7</xdr:col>
          <xdr:colOff>182216</xdr:colOff>
          <xdr:row>11</xdr:row>
          <xdr:rowOff>27608</xdr:rowOff>
        </xdr:to>
        <xdr:pic>
          <xdr:nvPicPr>
            <xdr:cNvPr id="52" name="Picture 51">
              <a:extLst>
                <a:ext uri="{FF2B5EF4-FFF2-40B4-BE49-F238E27FC236}">
                  <a16:creationId xmlns:a16="http://schemas.microsoft.com/office/drawing/2014/main" id="{8D700890-CCFE-DD96-6EF4-FE0193EA077F}"/>
                </a:ext>
              </a:extLst>
            </xdr:cNvPr>
            <xdr:cNvPicPr>
              <a:picLocks noChangeAspect="1" noChangeArrowheads="1"/>
              <a:extLst>
                <a:ext uri="{84589F7E-364E-4C9E-8A38-B11213B215E9}">
                  <a14:cameraTool cellRange="'Pivot Report'!$A$63:$D$65" spid="_x0000_s2081"/>
                </a:ext>
              </a:extLst>
            </xdr:cNvPicPr>
          </xdr:nvPicPr>
          <xdr:blipFill>
            <a:blip xmlns:r="http://schemas.openxmlformats.org/officeDocument/2006/relationships" r:embed="rId14"/>
            <a:srcRect/>
            <a:stretch>
              <a:fillRect/>
            </a:stretch>
          </xdr:blipFill>
          <xdr:spPr bwMode="auto">
            <a:xfrm>
              <a:off x="938288" y="1347537"/>
              <a:ext cx="3591339" cy="70939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240631</xdr:colOff>
      <xdr:row>11</xdr:row>
      <xdr:rowOff>93872</xdr:rowOff>
    </xdr:from>
    <xdr:to>
      <xdr:col>7</xdr:col>
      <xdr:colOff>182217</xdr:colOff>
      <xdr:row>20</xdr:row>
      <xdr:rowOff>79023</xdr:rowOff>
    </xdr:to>
    <xdr:graphicFrame macro="">
      <xdr:nvGraphicFramePr>
        <xdr:cNvPr id="53" name="Chart 52">
          <a:extLst>
            <a:ext uri="{FF2B5EF4-FFF2-40B4-BE49-F238E27FC236}">
              <a16:creationId xmlns:a16="http://schemas.microsoft.com/office/drawing/2014/main" id="{4A85E569-1828-40A4-AA3E-467F9B6FE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45154</xdr:colOff>
      <xdr:row>19</xdr:row>
      <xdr:rowOff>16934</xdr:rowOff>
    </xdr:from>
    <xdr:to>
      <xdr:col>6</xdr:col>
      <xdr:colOff>95999</xdr:colOff>
      <xdr:row>20</xdr:row>
      <xdr:rowOff>39256</xdr:rowOff>
    </xdr:to>
    <xdr:sp macro="" textlink="">
      <xdr:nvSpPr>
        <xdr:cNvPr id="55" name="TextBox 54">
          <a:extLst>
            <a:ext uri="{FF2B5EF4-FFF2-40B4-BE49-F238E27FC236}">
              <a16:creationId xmlns:a16="http://schemas.microsoft.com/office/drawing/2014/main" id="{639967C1-2BCF-452A-AC17-5B585E130719}"/>
            </a:ext>
          </a:extLst>
        </xdr:cNvPr>
        <xdr:cNvSpPr txBox="1"/>
      </xdr:nvSpPr>
      <xdr:spPr>
        <a:xfrm>
          <a:off x="1965154" y="3436934"/>
          <a:ext cx="1886845" cy="202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kern="1200"/>
            <a:t>No.</a:t>
          </a:r>
          <a:r>
            <a:rPr lang="en-IN" sz="1100" b="1" kern="1200" baseline="0"/>
            <a:t> of Patient by Age Group</a:t>
          </a:r>
          <a:endParaRPr lang="en-IN" sz="1100" b="1" kern="1200"/>
        </a:p>
      </xdr:txBody>
    </xdr:sp>
    <xdr:clientData/>
  </xdr:twoCellAnchor>
  <xdr:twoCellAnchor>
    <xdr:from>
      <xdr:col>7</xdr:col>
      <xdr:colOff>246000</xdr:colOff>
      <xdr:row>0</xdr:row>
      <xdr:rowOff>60000</xdr:rowOff>
    </xdr:from>
    <xdr:to>
      <xdr:col>9</xdr:col>
      <xdr:colOff>114000</xdr:colOff>
      <xdr:row>5</xdr:row>
      <xdr:rowOff>156000</xdr:rowOff>
    </xdr:to>
    <xdr:graphicFrame macro="">
      <xdr:nvGraphicFramePr>
        <xdr:cNvPr id="56" name="Chart 55">
          <a:extLst>
            <a:ext uri="{FF2B5EF4-FFF2-40B4-BE49-F238E27FC236}">
              <a16:creationId xmlns:a16="http://schemas.microsoft.com/office/drawing/2014/main" id="{DF50C9C4-E28B-432E-8A13-7F1D43075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255926</xdr:colOff>
      <xdr:row>5</xdr:row>
      <xdr:rowOff>138000</xdr:rowOff>
    </xdr:from>
    <xdr:to>
      <xdr:col>9</xdr:col>
      <xdr:colOff>132000</xdr:colOff>
      <xdr:row>6</xdr:row>
      <xdr:rowOff>174000</xdr:rowOff>
    </xdr:to>
    <xdr:sp macro="" textlink="">
      <xdr:nvSpPr>
        <xdr:cNvPr id="10" name="TextBox 9">
          <a:extLst>
            <a:ext uri="{FF2B5EF4-FFF2-40B4-BE49-F238E27FC236}">
              <a16:creationId xmlns:a16="http://schemas.microsoft.com/office/drawing/2014/main" id="{4623C2E1-A06B-5AE8-4E69-D36388A6256E}"/>
            </a:ext>
          </a:extLst>
        </xdr:cNvPr>
        <xdr:cNvSpPr txBox="1"/>
      </xdr:nvSpPr>
      <xdr:spPr>
        <a:xfrm>
          <a:off x="4623926" y="1038000"/>
          <a:ext cx="1100074"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kern="1200"/>
            <a:t>Patien</a:t>
          </a:r>
          <a:r>
            <a:rPr lang="en-IN" sz="900" b="1" kern="1200" baseline="0"/>
            <a:t> attended status</a:t>
          </a:r>
          <a:endParaRPr lang="en-IN" sz="900" b="1" kern="1200"/>
        </a:p>
      </xdr:txBody>
    </xdr:sp>
    <xdr:clientData/>
  </xdr:twoCellAnchor>
  <xdr:twoCellAnchor>
    <xdr:from>
      <xdr:col>9</xdr:col>
      <xdr:colOff>186000</xdr:colOff>
      <xdr:row>0</xdr:row>
      <xdr:rowOff>66000</xdr:rowOff>
    </xdr:from>
    <xdr:to>
      <xdr:col>11</xdr:col>
      <xdr:colOff>48000</xdr:colOff>
      <xdr:row>5</xdr:row>
      <xdr:rowOff>168000</xdr:rowOff>
    </xdr:to>
    <xdr:graphicFrame macro="">
      <xdr:nvGraphicFramePr>
        <xdr:cNvPr id="11" name="Chart 10">
          <a:extLst>
            <a:ext uri="{FF2B5EF4-FFF2-40B4-BE49-F238E27FC236}">
              <a16:creationId xmlns:a16="http://schemas.microsoft.com/office/drawing/2014/main" id="{79091686-0E0F-4EFC-B30F-573BDF806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207926</xdr:colOff>
      <xdr:row>5</xdr:row>
      <xdr:rowOff>132000</xdr:rowOff>
    </xdr:from>
    <xdr:to>
      <xdr:col>11</xdr:col>
      <xdr:colOff>84000</xdr:colOff>
      <xdr:row>6</xdr:row>
      <xdr:rowOff>168000</xdr:rowOff>
    </xdr:to>
    <xdr:sp macro="" textlink="">
      <xdr:nvSpPr>
        <xdr:cNvPr id="12" name="TextBox 11">
          <a:extLst>
            <a:ext uri="{FF2B5EF4-FFF2-40B4-BE49-F238E27FC236}">
              <a16:creationId xmlns:a16="http://schemas.microsoft.com/office/drawing/2014/main" id="{66809848-854C-5DCB-266F-53580E66F1EE}"/>
            </a:ext>
          </a:extLst>
        </xdr:cNvPr>
        <xdr:cNvSpPr txBox="1"/>
      </xdr:nvSpPr>
      <xdr:spPr>
        <a:xfrm>
          <a:off x="5799926" y="1032000"/>
          <a:ext cx="1100074"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kern="1200"/>
            <a:t>Gender wise Analysis</a:t>
          </a:r>
        </a:p>
      </xdr:txBody>
    </xdr:sp>
    <xdr:clientData/>
  </xdr:twoCellAnchor>
  <xdr:twoCellAnchor>
    <xdr:from>
      <xdr:col>7</xdr:col>
      <xdr:colOff>265043</xdr:colOff>
      <xdr:row>7</xdr:row>
      <xdr:rowOff>88348</xdr:rowOff>
    </xdr:from>
    <xdr:to>
      <xdr:col>11</xdr:col>
      <xdr:colOff>72000</xdr:colOff>
      <xdr:row>20</xdr:row>
      <xdr:rowOff>66000</xdr:rowOff>
    </xdr:to>
    <xdr:graphicFrame macro="">
      <xdr:nvGraphicFramePr>
        <xdr:cNvPr id="15" name="Chart 14">
          <a:extLst>
            <a:ext uri="{FF2B5EF4-FFF2-40B4-BE49-F238E27FC236}">
              <a16:creationId xmlns:a16="http://schemas.microsoft.com/office/drawing/2014/main" id="{A07C2010-B348-4667-98CF-F752F4093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265814</xdr:colOff>
      <xdr:row>18</xdr:row>
      <xdr:rowOff>146887</xdr:rowOff>
    </xdr:from>
    <xdr:to>
      <xdr:col>11</xdr:col>
      <xdr:colOff>70883</xdr:colOff>
      <xdr:row>19</xdr:row>
      <xdr:rowOff>169210</xdr:rowOff>
    </xdr:to>
    <xdr:sp macro="" textlink="">
      <xdr:nvSpPr>
        <xdr:cNvPr id="17" name="TextBox 16">
          <a:extLst>
            <a:ext uri="{FF2B5EF4-FFF2-40B4-BE49-F238E27FC236}">
              <a16:creationId xmlns:a16="http://schemas.microsoft.com/office/drawing/2014/main" id="{6FA8E06D-EE46-187F-2743-D6A05339168A}"/>
            </a:ext>
          </a:extLst>
        </xdr:cNvPr>
        <xdr:cNvSpPr txBox="1"/>
      </xdr:nvSpPr>
      <xdr:spPr>
        <a:xfrm>
          <a:off x="4607442" y="3442980"/>
          <a:ext cx="2238743" cy="20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kern="1200"/>
            <a:t>No.</a:t>
          </a:r>
          <a:r>
            <a:rPr lang="en-IN" sz="1100" b="1" kern="1200" baseline="0"/>
            <a:t> of Patient by Department Referal</a:t>
          </a:r>
          <a:endParaRPr lang="en-IN" sz="1100" b="1" kern="1200"/>
        </a:p>
      </xdr:txBody>
    </xdr:sp>
    <xdr:clientData/>
  </xdr:twoCellAnchor>
  <xdr:twoCellAnchor editAs="oneCell">
    <xdr:from>
      <xdr:col>5</xdr:col>
      <xdr:colOff>372140</xdr:colOff>
      <xdr:row>0</xdr:row>
      <xdr:rowOff>59071</xdr:rowOff>
    </xdr:from>
    <xdr:to>
      <xdr:col>7</xdr:col>
      <xdr:colOff>165395</xdr:colOff>
      <xdr:row>3</xdr:row>
      <xdr:rowOff>29536</xdr:rowOff>
    </xdr:to>
    <mc:AlternateContent xmlns:mc="http://schemas.openxmlformats.org/markup-compatibility/2006" xmlns:a14="http://schemas.microsoft.com/office/drawing/2010/main">
      <mc:Choice Requires="a14">
        <xdr:graphicFrame macro="">
          <xdr:nvGraphicFramePr>
            <xdr:cNvPr id="22" name="Date (Year)">
              <a:extLst>
                <a:ext uri="{FF2B5EF4-FFF2-40B4-BE49-F238E27FC236}">
                  <a16:creationId xmlns:a16="http://schemas.microsoft.com/office/drawing/2014/main" id="{006DF29A-ED8F-47AC-BBF6-3760DDA3F8C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97444" y="59071"/>
              <a:ext cx="1008038" cy="517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236220</xdr:colOff>
      <xdr:row>14</xdr:row>
      <xdr:rowOff>53340</xdr:rowOff>
    </xdr:from>
    <xdr:to>
      <xdr:col>2</xdr:col>
      <xdr:colOff>433927</xdr:colOff>
      <xdr:row>27</xdr:row>
      <xdr:rowOff>45720</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6BC833E4-0C39-9313-19E2-F974972B534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38358" y="2628374"/>
              <a:ext cx="1085774" cy="2383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48</xdr:row>
      <xdr:rowOff>165651</xdr:rowOff>
    </xdr:from>
    <xdr:to>
      <xdr:col>4</xdr:col>
      <xdr:colOff>113862</xdr:colOff>
      <xdr:row>51</xdr:row>
      <xdr:rowOff>33130</xdr:rowOff>
    </xdr:to>
    <xdr:graphicFrame macro="">
      <xdr:nvGraphicFramePr>
        <xdr:cNvPr id="6" name="Chart 5">
          <a:extLst>
            <a:ext uri="{FF2B5EF4-FFF2-40B4-BE49-F238E27FC236}">
              <a16:creationId xmlns:a16="http://schemas.microsoft.com/office/drawing/2014/main" id="{ED6322AC-EBDA-C3DE-2F5B-D87B6B337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17517</xdr:colOff>
      <xdr:row>62</xdr:row>
      <xdr:rowOff>8758</xdr:rowOff>
    </xdr:from>
    <xdr:to>
      <xdr:col>3</xdr:col>
      <xdr:colOff>2021840</xdr:colOff>
      <xdr:row>65</xdr:row>
      <xdr:rowOff>0</xdr:rowOff>
    </xdr:to>
    <xdr:graphicFrame macro="">
      <xdr:nvGraphicFramePr>
        <xdr:cNvPr id="4" name="Chart 3">
          <a:extLst>
            <a:ext uri="{FF2B5EF4-FFF2-40B4-BE49-F238E27FC236}">
              <a16:creationId xmlns:a16="http://schemas.microsoft.com/office/drawing/2014/main" id="{C25AEDB9-1871-3EF6-7000-6CF006D22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60959</xdr:colOff>
      <xdr:row>1</xdr:row>
      <xdr:rowOff>60959</xdr:rowOff>
    </xdr:from>
    <xdr:to>
      <xdr:col>13</xdr:col>
      <xdr:colOff>513346</xdr:colOff>
      <xdr:row>25</xdr:row>
      <xdr:rowOff>48127</xdr:rowOff>
    </xdr:to>
    <xdr:graphicFrame macro="">
      <xdr:nvGraphicFramePr>
        <xdr:cNvPr id="2" name="Chart 1">
          <a:extLst>
            <a:ext uri="{FF2B5EF4-FFF2-40B4-BE49-F238E27FC236}">
              <a16:creationId xmlns:a16="http://schemas.microsoft.com/office/drawing/2014/main" id="{FB76C692-EC39-4C3F-B002-C3C3257EC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0.0789</cdr:x>
      <cdr:y>0.14971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C7E0389-ABE1-7693-257A-5C58356AF42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60936" cy="660936"/>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164460</xdr:colOff>
      <xdr:row>0</xdr:row>
      <xdr:rowOff>120602</xdr:rowOff>
    </xdr:from>
    <xdr:to>
      <xdr:col>18</xdr:col>
      <xdr:colOff>304800</xdr:colOff>
      <xdr:row>28</xdr:row>
      <xdr:rowOff>137160</xdr:rowOff>
    </xdr:to>
    <xdr:graphicFrame macro="">
      <xdr:nvGraphicFramePr>
        <xdr:cNvPr id="2" name="Chart 1">
          <a:extLst>
            <a:ext uri="{FF2B5EF4-FFF2-40B4-BE49-F238E27FC236}">
              <a16:creationId xmlns:a16="http://schemas.microsoft.com/office/drawing/2014/main" id="{69152519-22A0-47EC-B90B-DA18BD2EF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0.06417</cdr:x>
      <cdr:y>0.11447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81EB1D1-2960-A9F2-E5FB-15982A185C9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713155" cy="588058"/>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96864</xdr:colOff>
      <xdr:row>0</xdr:row>
      <xdr:rowOff>64576</xdr:rowOff>
    </xdr:from>
    <xdr:to>
      <xdr:col>11</xdr:col>
      <xdr:colOff>116238</xdr:colOff>
      <xdr:row>23</xdr:row>
      <xdr:rowOff>19372</xdr:rowOff>
    </xdr:to>
    <xdr:graphicFrame macro="">
      <xdr:nvGraphicFramePr>
        <xdr:cNvPr id="3" name="Chart 2">
          <a:extLst>
            <a:ext uri="{FF2B5EF4-FFF2-40B4-BE49-F238E27FC236}">
              <a16:creationId xmlns:a16="http://schemas.microsoft.com/office/drawing/2014/main" id="{AC22369D-0618-4C49-9A8D-406754B34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0.00193</cdr:x>
      <cdr:y>0.05024</cdr:y>
    </cdr:from>
    <cdr:to>
      <cdr:x>0.07715</cdr:x>
      <cdr:y>0.17268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A7615EC-8827-37C4-204E-10A31AFBCB7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916" y="206645"/>
          <a:ext cx="503695" cy="50369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11.594309837965" createdVersion="5" refreshedVersion="8" minRefreshableVersion="3" recordCount="0" supportSubquery="1" supportAdvancedDrill="1" xr:uid="{4480E977-47FE-4588-BB02-293E348565BC}">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11.594310300927" createdVersion="5" refreshedVersion="8" minRefreshableVersion="3" recordCount="0" supportSubquery="1" supportAdvancedDrill="1" xr:uid="{29241057-54DD-4F3B-9361-AD0A819CC2B5}">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11.594310416665" createdVersion="5" refreshedVersion="8" minRefreshableVersion="3" recordCount="0" supportSubquery="1" supportAdvancedDrill="1" xr:uid="{B04D1314-E6AA-4183-B3C6-7D717B667717}">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11.594310532404" createdVersion="5" refreshedVersion="8" minRefreshableVersion="3" recordCount="0" supportSubquery="1" supportAdvancedDrill="1" xr:uid="{6AF753B6-72B8-4A93-BD51-10E3BC8E080E}">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11.594310879627" createdVersion="5" refreshedVersion="8" minRefreshableVersion="3" recordCount="0" supportSubquery="1" supportAdvancedDrill="1" xr:uid="{4A9D8334-7A0C-4996-A697-74C15EE73A26}">
  <cacheSource type="external" connectionId="3"/>
  <cacheFields count="4">
    <cacheField name="[Calenda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11.594311574074" createdVersion="5" refreshedVersion="8" minRefreshableVersion="3" recordCount="0" supportSubquery="1" supportAdvancedDrill="1" xr:uid="{F886734B-0E1F-48CA-8CD9-A02731EC0056}">
  <cacheSource type="external" connectionId="3"/>
  <cacheFields count="4">
    <cacheField name="[Calenda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11.594312152774" createdVersion="5" refreshedVersion="8" minRefreshableVersion="3" recordCount="0" supportSubquery="1" supportAdvancedDrill="1" xr:uid="{8B6B2BAD-1279-4A0C-A095-71943CF43E68}">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11.594312499998" createdVersion="5" refreshedVersion="8" minRefreshableVersion="3" recordCount="0" supportSubquery="1" supportAdvancedDrill="1" xr:uid="{B983BBBE-4754-4BA9-A0EC-1F4B6AB5F3B3}">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11.594312847221" createdVersion="5" refreshedVersion="8" minRefreshableVersion="3" recordCount="0" supportSubquery="1" supportAdvancedDrill="1" xr:uid="{4BAFBF76-500A-45F0-B31A-7499CFB2C5E5}">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11.594313194444" createdVersion="5" refreshedVersion="8" minRefreshableVersion="3" recordCount="0" supportSubquery="1" supportAdvancedDrill="1" xr:uid="{F67C02D6-63DC-475A-A42C-AA78B2869BC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11.594313541667" createdVersion="5" refreshedVersion="8" minRefreshableVersion="3" recordCount="0" supportSubquery="1" supportAdvancedDrill="1" xr:uid="{581823AC-F2F1-43B6-9F8B-951ECB10580E}">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11.594313888891" createdVersion="5" refreshedVersion="8" minRefreshableVersion="3" recordCount="0" supportSubquery="1" supportAdvancedDrill="1" xr:uid="{BFEC84FC-AED7-4BF6-B728-4A07055704AC}">
  <cacheSource type="external" connectionId="3"/>
  <cacheFields count="4">
    <cacheField name="[Calendar_Table].[Date (Month)].[Date (Month)]" caption="Date (Month)" numFmtId="0" hierarchy="1" level="1">
      <sharedItems count="1">
        <s v="May"/>
      </sharedItems>
    </cacheField>
    <cacheField name="[Calenda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5970.896243518517" createdVersion="3" refreshedVersion="8" minRefreshableVersion="3" recordCount="0" supportSubquery="1" supportAdvancedDrill="1" xr:uid="{066353BA-18BA-46EC-9964-481B235D6D3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451510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D9F403-3AAE-4702-BF05-A85DF9346BA4}" name="PivotTable8" cacheId="7" applyNumberFormats="0" applyBorderFormats="0" applyFontFormats="0" applyPatternFormats="0" applyAlignmentFormats="0" applyWidthHeightFormats="1" dataCaption="Values" tag="acddf1c7-a438-4e6d-89de-33fb2c201852" updatedVersion="8" minRefreshableVersion="3" itemPrintTitles="1" createdVersion="5" indent="0" outline="1" outlineData="1" multipleFieldFilters="0" chartFormat="86">
  <location ref="A69:B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8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Row="0" dragToCol="0" dragToPage="0"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301E13-0742-42D7-B0F9-690C6C58EF19}" name="PivotTable11" cacheId="10" applyNumberFormats="0" applyBorderFormats="0" applyFontFormats="0" applyPatternFormats="0" applyAlignmentFormats="0" applyWidthHeightFormats="1" dataCaption="Values" tag="acddf1c7-a438-4e6d-89de-33fb2c201852" updatedVersion="8" minRefreshableVersion="3" itemPrintTitles="1" createdVersion="5" indent="0" outline="1" outlineData="1" multipleFieldFilters="0" chartFormat="104">
  <location ref="A95:B10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i>
    <i>
      <x v="3"/>
    </i>
    <i>
      <x v="6"/>
    </i>
    <i>
      <x v="5"/>
    </i>
    <i>
      <x v="2"/>
    </i>
    <i>
      <x v="4"/>
    </i>
    <i t="grand">
      <x/>
    </i>
  </rowItems>
  <colItems count="1">
    <i/>
  </colItems>
  <dataFields count="1">
    <dataField name="Count of Department Referral" fld="2" subtotal="count" baseField="0" baseItem="0"/>
  </dataFields>
  <chartFormats count="1">
    <chartFormat chart="10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Row="0" dragToCol="0" dragToPage="0"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A4C71D-7989-431C-906F-E0463DB8DBED}" name="PivotTable7" cacheId="6" applyNumberFormats="0" applyBorderFormats="0" applyFontFormats="0" applyPatternFormats="0" applyAlignmentFormats="0" applyWidthHeightFormats="1" dataCaption="Values" tag="acddf1c7-a438-4e6d-89de-33fb2c201852" updatedVersion="8" minRefreshableVersion="3" itemPrintTitles="1" createdVersion="5" indent="0" outline="1" outlineData="1" multipleFieldFilters="0" chartFormat="81">
  <location ref="A55:C5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Row="0" dragToCol="0" dragToPage="0"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490EAE-3183-457E-82B7-075CB9E11537}" name="PivotTable2" cacheId="2" applyNumberFormats="0" applyBorderFormats="0" applyFontFormats="0" applyPatternFormats="0" applyAlignmentFormats="0" applyWidthHeightFormats="1" dataCaption="Values" tag="0548dd23-5053-4ef7-8f85-c6af1e4b9685"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651F03-3A92-44A0-B44B-D73DAD8DC030}" name="PivotTable12" cacheId="11" applyNumberFormats="0" applyBorderFormats="0" applyFontFormats="0" applyPatternFormats="0" applyAlignmentFormats="0" applyWidthHeightFormats="1" dataCaption="Values" tag="acddf1c7-a438-4e6d-89de-33fb2c201852" updatedVersion="8" minRefreshableVersion="3" itemPrintTitles="1" createdVersion="5" indent="0" outline="1" outlineData="1" multipleFieldFilters="0" chartFormat="103">
  <location ref="A109:A11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Row="0" dragToCol="0" dragToPage="0"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5FB07E-0FE6-4D48-80CC-2586F1FC5041}" name="PivotTable10" cacheId="9" applyNumberFormats="0" applyBorderFormats="0" applyFontFormats="0" applyPatternFormats="0" applyAlignmentFormats="0" applyWidthHeightFormats="1" dataCaption="Values" tag="acddf1c7-a438-4e6d-89de-33fb2c201852" updatedVersion="8" minRefreshableVersion="3" itemPrintTitles="1" createdVersion="5" indent="0" outline="1" outlineData="1" multipleFieldFilters="0" chartFormat="99">
  <location ref="A88:B9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98" format="4" series="1">
      <pivotArea type="data" outline="0" fieldPosition="0">
        <references count="1">
          <reference field="4294967294" count="1" selected="0">
            <x v="0"/>
          </reference>
        </references>
      </pivotArea>
    </chartFormat>
    <chartFormat chart="98" format="5">
      <pivotArea type="data" outline="0" fieldPosition="0">
        <references count="2">
          <reference field="4294967294" count="1" selected="0">
            <x v="0"/>
          </reference>
          <reference field="1" count="1" selected="0">
            <x v="0"/>
          </reference>
        </references>
      </pivotArea>
    </chartFormat>
    <chartFormat chart="9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Row="0" dragToCol="0" dragToPage="0"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C04684-76DB-44C8-B7C5-ADFDFF0C40D5}" name="PivotTable1" cacheId="1" applyNumberFormats="0" applyBorderFormats="0" applyFontFormats="0" applyPatternFormats="0" applyAlignmentFormats="0" applyWidthHeightFormats="1" dataCaption="Values" tag="293478ca-d236-492b-9bd0-3b7fe281e4d8"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85EBE0-580A-4D3B-8C9B-B88A86427A05}" name="PivotTable4" cacheId="0" applyNumberFormats="0" applyBorderFormats="0" applyFontFormats="0" applyPatternFormats="0" applyAlignmentFormats="0" applyWidthHeightFormats="1" dataCaption="Values" tag="f80480bc-007e-48d2-8349-0357bf12112a" updatedVersion="8" minRefreshableVersion="3" useAutoFormatting="1" itemPrintTitles="1" createdVersion="5" indent="0" outline="1" outlineData="1" multipleFieldFilters="0" chartFormat="10">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4C6831-5CEB-4BE2-A0C9-04C926D0AD68}" name="PivotTable3" cacheId="3" applyNumberFormats="0" applyBorderFormats="0" applyFontFormats="0" applyPatternFormats="0" applyAlignmentFormats="0" applyWidthHeightFormats="1" dataCaption="Values" tag="acddf1c7-a438-4e6d-89de-33fb2c201852"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baseField="0" baseItem="0"/>
  </dataFields>
  <formats count="1">
    <format dxfId="1">
      <pivotArea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Row="0" dragToCol="0" dragToPage="0"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0CD4F6-64BD-4980-B8E9-2DB7F22CF9E0}" name="PivotTable5" cacheId="4" applyNumberFormats="0" applyBorderFormats="0" applyFontFormats="0" applyPatternFormats="0" applyAlignmentFormats="0" applyWidthHeightFormats="1" dataCaption="Values" tag="5b8375e9-5d16-45ab-8346-a40e4be5c239" updatedVersion="8" minRefreshableVersion="3" useAutoFormatting="1" itemPrintTitles="1" createdVersion="5" indent="0" outline="1" outlineData="1" multipleFieldFilters="0" chartFormat="26">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2">
      <pivotArea collapsedLevelsAreSubtotals="1" fieldPosition="0">
        <references count="1">
          <reference field="0" count="0"/>
        </references>
      </pivotArea>
    </format>
  </formats>
  <chartFormats count="2">
    <chartFormat chart="13"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685FF1-2DF0-49F1-A668-B7AEB12FA222}" name="PivotTable6" cacheId="5" applyNumberFormats="0" applyBorderFormats="0" applyFontFormats="0" applyPatternFormats="0" applyAlignmentFormats="0" applyWidthHeightFormats="1" dataCaption="Values" tag="5d446a82-8d5f-4e3c-8ed6-26fae851a7ed" updatedVersion="8" minRefreshableVersion="3" useAutoFormatting="1" itemPrintTitles="1" createdVersion="5" indent="0" outline="1" outlineData="1" multipleFieldFilters="0" chartFormat="32">
  <location ref="L4:M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3">
      <pivotArea collapsedLevelsAreSubtotals="1" fieldPosition="0">
        <references count="1">
          <reference field="0" count="0"/>
        </references>
      </pivotArea>
    </format>
  </formats>
  <chartFormats count="2">
    <chartFormat chart="29"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3388F7-7B00-44D6-A6F0-EF62F9F0A8DC}" name="PivotTable9" cacheId="8" applyNumberFormats="0" applyBorderFormats="0" applyFontFormats="0" applyPatternFormats="0" applyAlignmentFormats="0" applyWidthHeightFormats="1" dataCaption="Values" tag="acddf1c7-a438-4e6d-89de-33fb2c201852" updatedVersion="8" minRefreshableVersion="3" itemPrintTitles="1" createdVersion="5" indent="0" outline="1" outlineData="1" multipleFieldFilters="0" chartFormat="91">
  <location ref="A82:B8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9">
    <chartFormat chart="87" format="1" series="1">
      <pivotArea type="data" outline="0" fieldPosition="0">
        <references count="1">
          <reference field="4294967294" count="1" selected="0">
            <x v="0"/>
          </reference>
        </references>
      </pivotArea>
    </chartFormat>
    <chartFormat chart="87" format="2">
      <pivotArea type="data" outline="0" fieldPosition="0">
        <references count="2">
          <reference field="4294967294" count="1" selected="0">
            <x v="0"/>
          </reference>
          <reference field="1" count="1" selected="0">
            <x v="0"/>
          </reference>
        </references>
      </pivotArea>
    </chartFormat>
    <chartFormat chart="87" format="3">
      <pivotArea type="data" outline="0" fieldPosition="0">
        <references count="2">
          <reference field="4294967294" count="1" selected="0">
            <x v="0"/>
          </reference>
          <reference field="1" count="1" selected="0">
            <x v="1"/>
          </reference>
        </references>
      </pivotArea>
    </chartFormat>
    <chartFormat chart="88" format="4" series="1">
      <pivotArea type="data" outline="0" fieldPosition="0">
        <references count="1">
          <reference field="4294967294" count="1" selected="0">
            <x v="0"/>
          </reference>
        </references>
      </pivotArea>
    </chartFormat>
    <chartFormat chart="88" format="5">
      <pivotArea type="data" outline="0" fieldPosition="0">
        <references count="2">
          <reference field="4294967294" count="1" selected="0">
            <x v="0"/>
          </reference>
          <reference field="1" count="1" selected="0">
            <x v="0"/>
          </reference>
        </references>
      </pivotArea>
    </chartFormat>
    <chartFormat chart="88" format="6">
      <pivotArea type="data" outline="0" fieldPosition="0">
        <references count="2">
          <reference field="4294967294" count="1" selected="0">
            <x v="0"/>
          </reference>
          <reference field="1" count="1" selected="0">
            <x v="1"/>
          </reference>
        </references>
      </pivotArea>
    </chartFormat>
    <chartFormat chart="89" format="4" series="1">
      <pivotArea type="data" outline="0" fieldPosition="0">
        <references count="1">
          <reference field="4294967294" count="1" selected="0">
            <x v="0"/>
          </reference>
        </references>
      </pivotArea>
    </chartFormat>
    <chartFormat chart="89" format="5">
      <pivotArea type="data" outline="0" fieldPosition="0">
        <references count="2">
          <reference field="4294967294" count="1" selected="0">
            <x v="0"/>
          </reference>
          <reference field="1" count="1" selected="0">
            <x v="0"/>
          </reference>
        </references>
      </pivotArea>
    </chartFormat>
    <chartFormat chart="8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Row="0" dragToCol="0" dragToPage="0"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4F8673C-8378-4447-B0E4-E970BE0DC507}"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745151016">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8E31606-1AA4-4D3A-9A96-9CE7C8859081}"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4515101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8D4B252E-A328-4B62-BA03-B9ECB4E08184}" cache="Slicer_Date__Month" caption="Date (Month)" showCaption="0" level="1" style="My style11" rowHeight="216000"/>
  <slicer name="Date (Year)" xr10:uid="{35ABDF88-43D3-4EF5-BE62-49446373D03E}" cache="Slicer_Date__Year" caption="Date (Year)" showCaption="0" level="1" style="My style1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75157FF-92AC-4D40-97E6-A0C88829815A}" cache="Slicer_Date__Month" caption="Date (Month)"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87459-30C5-46FC-B935-1EB3636D5BDE}">
  <dimension ref="A1:M21"/>
  <sheetViews>
    <sheetView tabSelected="1" zoomScale="137" zoomScaleNormal="170" workbookViewId="0"/>
  </sheetViews>
  <sheetFormatPr defaultRowHeight="14.4" x14ac:dyDescent="0.3"/>
  <cols>
    <col min="1" max="1" width="10.109375" customWidth="1"/>
    <col min="11" max="11" width="9.109375" customWidth="1"/>
  </cols>
  <sheetData>
    <row r="1" spans="1:13" x14ac:dyDescent="0.3">
      <c r="A1" s="4"/>
      <c r="B1" s="4"/>
      <c r="C1" s="4"/>
      <c r="D1" s="4"/>
      <c r="E1" s="4"/>
      <c r="F1" s="4"/>
      <c r="G1" s="4"/>
      <c r="H1" s="4"/>
      <c r="I1" s="4"/>
      <c r="J1" s="4"/>
      <c r="K1" s="4"/>
      <c r="L1" s="4"/>
      <c r="M1" s="16"/>
    </row>
    <row r="2" spans="1:13" x14ac:dyDescent="0.3">
      <c r="A2" s="4"/>
      <c r="B2" s="4"/>
      <c r="C2" s="4"/>
      <c r="D2" s="4"/>
      <c r="E2" s="4"/>
      <c r="F2" s="4"/>
      <c r="G2" s="4"/>
      <c r="H2" s="4"/>
      <c r="I2" s="4"/>
      <c r="J2" s="4"/>
      <c r="K2" s="4"/>
      <c r="L2" s="4"/>
      <c r="M2" s="16"/>
    </row>
    <row r="3" spans="1:13" x14ac:dyDescent="0.3">
      <c r="A3" s="4"/>
      <c r="B3" s="4"/>
      <c r="C3" s="4"/>
      <c r="D3" s="4"/>
      <c r="E3" s="4"/>
      <c r="F3" s="4"/>
      <c r="G3" s="4"/>
      <c r="H3" s="4"/>
      <c r="I3" s="4"/>
      <c r="J3" s="4"/>
      <c r="K3" s="4"/>
      <c r="L3" s="4"/>
      <c r="M3" s="16"/>
    </row>
    <row r="4" spans="1:13" x14ac:dyDescent="0.3">
      <c r="A4" s="4"/>
      <c r="B4" s="4"/>
      <c r="C4" s="4"/>
      <c r="D4" s="4"/>
      <c r="E4" s="4"/>
      <c r="F4" s="4"/>
      <c r="G4" s="4"/>
      <c r="H4" s="4"/>
      <c r="I4" s="4"/>
      <c r="J4" s="4"/>
      <c r="K4" s="4"/>
      <c r="L4" s="4"/>
      <c r="M4" s="16"/>
    </row>
    <row r="5" spans="1:13" x14ac:dyDescent="0.3">
      <c r="A5" s="4"/>
      <c r="B5" s="4"/>
      <c r="C5" s="4"/>
      <c r="D5" s="4"/>
      <c r="E5" s="4"/>
      <c r="F5" s="4"/>
      <c r="G5" s="4"/>
      <c r="H5" s="4"/>
      <c r="I5" s="4"/>
      <c r="J5" s="4"/>
      <c r="K5" s="4"/>
      <c r="L5" s="4"/>
      <c r="M5" s="16"/>
    </row>
    <row r="6" spans="1:13" x14ac:dyDescent="0.3">
      <c r="A6" s="4"/>
      <c r="B6" s="4"/>
      <c r="C6" s="4"/>
      <c r="D6" s="4"/>
      <c r="E6" s="4"/>
      <c r="F6" s="4"/>
      <c r="G6" s="4"/>
      <c r="H6" s="4"/>
      <c r="I6" s="4"/>
      <c r="J6" s="4"/>
      <c r="K6" s="4"/>
      <c r="L6" s="4"/>
      <c r="M6" s="16"/>
    </row>
    <row r="7" spans="1:13" x14ac:dyDescent="0.3">
      <c r="A7" s="4"/>
      <c r="B7" s="4"/>
      <c r="C7" s="4"/>
      <c r="D7" s="4"/>
      <c r="E7" s="4"/>
      <c r="F7" s="4"/>
      <c r="G7" s="4"/>
      <c r="H7" s="4"/>
      <c r="I7" s="4"/>
      <c r="J7" s="4"/>
      <c r="K7" s="4"/>
      <c r="L7" s="4"/>
      <c r="M7" s="16"/>
    </row>
    <row r="8" spans="1:13" x14ac:dyDescent="0.3">
      <c r="A8" s="4"/>
      <c r="B8" s="4"/>
      <c r="C8" s="4"/>
      <c r="D8" s="4"/>
      <c r="E8" s="4"/>
      <c r="F8" s="4"/>
      <c r="G8" s="4"/>
      <c r="H8" s="4"/>
      <c r="I8" s="4"/>
      <c r="J8" s="4"/>
      <c r="K8" s="4"/>
      <c r="L8" s="4"/>
      <c r="M8" s="16"/>
    </row>
    <row r="9" spans="1:13" x14ac:dyDescent="0.3">
      <c r="A9" s="4"/>
      <c r="B9" s="4"/>
      <c r="C9" s="4"/>
      <c r="D9" s="4"/>
      <c r="E9" s="4"/>
      <c r="F9" s="4"/>
      <c r="G9" s="4"/>
      <c r="H9" s="4"/>
      <c r="I9" s="4"/>
      <c r="J9" s="4"/>
      <c r="K9" s="4"/>
      <c r="L9" s="4"/>
      <c r="M9" s="16"/>
    </row>
    <row r="10" spans="1:13" x14ac:dyDescent="0.3">
      <c r="A10" s="4"/>
      <c r="B10" s="4"/>
      <c r="C10" s="4"/>
      <c r="D10" s="4"/>
      <c r="E10" s="4"/>
      <c r="F10" s="4"/>
      <c r="G10" s="4"/>
      <c r="H10" s="4"/>
      <c r="I10" s="4"/>
      <c r="J10" s="4"/>
      <c r="K10" s="4"/>
      <c r="L10" s="4"/>
      <c r="M10" s="16"/>
    </row>
    <row r="11" spans="1:13" x14ac:dyDescent="0.3">
      <c r="A11" s="4"/>
      <c r="B11" s="4"/>
      <c r="C11" s="4"/>
      <c r="D11" s="4"/>
      <c r="E11" s="4"/>
      <c r="F11" s="4"/>
      <c r="G11" s="4"/>
      <c r="H11" s="4"/>
      <c r="I11" s="4"/>
      <c r="J11" s="4"/>
      <c r="K11" s="4"/>
      <c r="L11" s="4"/>
      <c r="M11" s="16"/>
    </row>
    <row r="12" spans="1:13" x14ac:dyDescent="0.3">
      <c r="A12" s="4"/>
      <c r="B12" s="4"/>
      <c r="C12" s="4"/>
      <c r="D12" s="4"/>
      <c r="E12" s="4"/>
      <c r="F12" s="4"/>
      <c r="G12" s="4"/>
      <c r="H12" s="4"/>
      <c r="I12" s="4"/>
      <c r="J12" s="4"/>
      <c r="K12" s="4"/>
      <c r="L12" s="4"/>
      <c r="M12" s="16"/>
    </row>
    <row r="13" spans="1:13" x14ac:dyDescent="0.3">
      <c r="A13" s="4"/>
      <c r="B13" s="4"/>
      <c r="C13" s="4"/>
      <c r="D13" s="4"/>
      <c r="E13" s="4"/>
      <c r="F13" s="4"/>
      <c r="G13" s="4"/>
      <c r="H13" s="4"/>
      <c r="I13" s="4"/>
      <c r="J13" s="4"/>
      <c r="K13" s="4"/>
      <c r="L13" s="4"/>
      <c r="M13" s="16"/>
    </row>
    <row r="14" spans="1:13" x14ac:dyDescent="0.3">
      <c r="A14" s="4"/>
      <c r="B14" s="4"/>
      <c r="C14" s="4"/>
      <c r="D14" s="4"/>
      <c r="E14" s="4"/>
      <c r="F14" s="4"/>
      <c r="G14" s="4"/>
      <c r="H14" s="4"/>
      <c r="I14" s="4"/>
      <c r="J14" s="4"/>
      <c r="K14" s="4"/>
      <c r="L14" s="4"/>
      <c r="M14" s="16"/>
    </row>
    <row r="15" spans="1:13" x14ac:dyDescent="0.3">
      <c r="A15" s="4"/>
      <c r="B15" s="4"/>
      <c r="C15" s="4"/>
      <c r="D15" s="4"/>
      <c r="E15" s="4"/>
      <c r="F15" s="4"/>
      <c r="G15" s="4"/>
      <c r="H15" s="4"/>
      <c r="I15" s="4"/>
      <c r="J15" s="4"/>
      <c r="K15" s="4"/>
      <c r="L15" s="4"/>
      <c r="M15" s="16"/>
    </row>
    <row r="16" spans="1:13" x14ac:dyDescent="0.3">
      <c r="A16" s="4"/>
      <c r="B16" s="4"/>
      <c r="C16" s="4"/>
      <c r="D16" s="4"/>
      <c r="E16" s="4"/>
      <c r="F16" s="4"/>
      <c r="G16" s="4"/>
      <c r="H16" s="4"/>
      <c r="I16" s="4"/>
      <c r="J16" s="4"/>
      <c r="K16" s="4"/>
      <c r="L16" s="4"/>
      <c r="M16" s="16"/>
    </row>
    <row r="17" spans="1:13" x14ac:dyDescent="0.3">
      <c r="A17" s="4"/>
      <c r="B17" s="4"/>
      <c r="C17" s="4"/>
      <c r="D17" s="4"/>
      <c r="E17" s="4"/>
      <c r="F17" s="4"/>
      <c r="G17" s="4"/>
      <c r="H17" s="4"/>
      <c r="I17" s="4"/>
      <c r="J17" s="4"/>
      <c r="K17" s="4"/>
      <c r="L17" s="4"/>
      <c r="M17" s="16"/>
    </row>
    <row r="18" spans="1:13" x14ac:dyDescent="0.3">
      <c r="A18" s="4"/>
      <c r="B18" s="4"/>
      <c r="C18" s="4"/>
      <c r="D18" s="4"/>
      <c r="E18" s="4"/>
      <c r="F18" s="4"/>
      <c r="G18" s="4"/>
      <c r="H18" s="4"/>
      <c r="I18" s="4"/>
      <c r="J18" s="4"/>
      <c r="K18" s="4"/>
      <c r="L18" s="4"/>
      <c r="M18" s="16"/>
    </row>
    <row r="19" spans="1:13" x14ac:dyDescent="0.3">
      <c r="A19" s="4"/>
      <c r="B19" s="4"/>
      <c r="C19" s="4"/>
      <c r="D19" s="4"/>
      <c r="E19" s="4"/>
      <c r="F19" s="4"/>
      <c r="G19" s="4"/>
      <c r="H19" s="4"/>
      <c r="I19" s="4"/>
      <c r="J19" s="4"/>
      <c r="K19" s="4"/>
      <c r="L19" s="4"/>
      <c r="M19" s="16"/>
    </row>
    <row r="20" spans="1:13" x14ac:dyDescent="0.3">
      <c r="A20" s="4"/>
      <c r="B20" s="4"/>
      <c r="C20" s="4"/>
      <c r="D20" s="4"/>
      <c r="E20" s="4"/>
      <c r="F20" s="4"/>
      <c r="G20" s="4"/>
      <c r="H20" s="4"/>
      <c r="I20" s="4"/>
      <c r="J20" s="4"/>
      <c r="K20" s="4"/>
      <c r="L20" s="4"/>
      <c r="M20" s="16"/>
    </row>
    <row r="21" spans="1:13" x14ac:dyDescent="0.3">
      <c r="A21" s="4"/>
      <c r="B21" s="4"/>
      <c r="C21" s="4"/>
      <c r="D21" s="4"/>
      <c r="E21" s="4"/>
      <c r="F21" s="4"/>
      <c r="G21" s="4"/>
      <c r="H21" s="4"/>
      <c r="I21" s="4"/>
      <c r="J21" s="4"/>
      <c r="K21" s="4"/>
      <c r="L21" s="4"/>
      <c r="M21" s="1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F989B-B218-47F7-A5B7-E460FDA5C108}">
  <dimension ref="A3:M111"/>
  <sheetViews>
    <sheetView topLeftCell="A64" zoomScale="66" zoomScaleNormal="70" workbookViewId="0">
      <selection activeCell="A63" sqref="A63:D65"/>
    </sheetView>
  </sheetViews>
  <sheetFormatPr defaultRowHeight="14.4" x14ac:dyDescent="0.3"/>
  <cols>
    <col min="1" max="1" width="17.77734375" customWidth="1"/>
    <col min="2" max="2" width="13" customWidth="1"/>
    <col min="3" max="3" width="8.109375" customWidth="1"/>
    <col min="4" max="4" width="12.5546875" bestFit="1" customWidth="1"/>
    <col min="5" max="5" width="23.88671875" bestFit="1" customWidth="1"/>
    <col min="8" max="8" width="12.5546875" bestFit="1" customWidth="1"/>
    <col min="9" max="9" width="25.109375" bestFit="1" customWidth="1"/>
    <col min="11" max="11" width="8.88671875" customWidth="1"/>
    <col min="12" max="12" width="12.5546875" bestFit="1" customWidth="1"/>
    <col min="13" max="13" width="32.44140625" bestFit="1" customWidth="1"/>
  </cols>
  <sheetData>
    <row r="3" spans="1:13" x14ac:dyDescent="0.3">
      <c r="A3" t="s">
        <v>1</v>
      </c>
      <c r="D3" t="s">
        <v>6</v>
      </c>
      <c r="H3" t="s">
        <v>7</v>
      </c>
      <c r="L3" t="s">
        <v>8</v>
      </c>
    </row>
    <row r="4" spans="1:13" x14ac:dyDescent="0.3">
      <c r="A4" t="s">
        <v>0</v>
      </c>
      <c r="D4" s="2" t="s">
        <v>4</v>
      </c>
      <c r="E4" t="s">
        <v>0</v>
      </c>
      <c r="H4" s="2" t="s">
        <v>4</v>
      </c>
      <c r="I4" t="s">
        <v>2</v>
      </c>
      <c r="L4" s="2" t="s">
        <v>4</v>
      </c>
      <c r="M4" t="s">
        <v>3</v>
      </c>
    </row>
    <row r="5" spans="1:13" x14ac:dyDescent="0.3">
      <c r="A5" s="1">
        <v>493</v>
      </c>
      <c r="D5" s="5" t="s">
        <v>44</v>
      </c>
      <c r="E5" s="1">
        <v>15</v>
      </c>
      <c r="H5" s="5" t="s">
        <v>44</v>
      </c>
      <c r="I5" s="3">
        <v>36.4</v>
      </c>
      <c r="L5" s="5" t="s">
        <v>44</v>
      </c>
      <c r="M5" s="3">
        <v>4.8</v>
      </c>
    </row>
    <row r="6" spans="1:13" x14ac:dyDescent="0.3">
      <c r="D6" s="5" t="s">
        <v>45</v>
      </c>
      <c r="E6" s="1">
        <v>14</v>
      </c>
      <c r="H6" s="5" t="s">
        <v>45</v>
      </c>
      <c r="I6" s="3">
        <v>33.357142857142854</v>
      </c>
      <c r="L6" s="5" t="s">
        <v>45</v>
      </c>
      <c r="M6" s="3">
        <v>3.8</v>
      </c>
    </row>
    <row r="7" spans="1:13" x14ac:dyDescent="0.3">
      <c r="D7" s="5" t="s">
        <v>46</v>
      </c>
      <c r="E7" s="1">
        <v>15</v>
      </c>
      <c r="H7" s="5" t="s">
        <v>46</v>
      </c>
      <c r="I7" s="3">
        <v>38.200000000000003</v>
      </c>
      <c r="L7" s="5" t="s">
        <v>46</v>
      </c>
      <c r="M7" s="3">
        <v>2.5</v>
      </c>
    </row>
    <row r="8" spans="1:13" x14ac:dyDescent="0.3">
      <c r="A8" t="s">
        <v>2</v>
      </c>
      <c r="D8" s="5" t="s">
        <v>47</v>
      </c>
      <c r="E8" s="1">
        <v>18</v>
      </c>
      <c r="H8" s="5" t="s">
        <v>47</v>
      </c>
      <c r="I8" s="3">
        <v>37.611111111111114</v>
      </c>
      <c r="L8" s="5" t="s">
        <v>47</v>
      </c>
      <c r="M8" s="3">
        <v>3.75</v>
      </c>
    </row>
    <row r="9" spans="1:13" x14ac:dyDescent="0.3">
      <c r="A9" s="3">
        <v>34.933062880324542</v>
      </c>
      <c r="D9" s="5" t="s">
        <v>48</v>
      </c>
      <c r="E9" s="1">
        <v>19</v>
      </c>
      <c r="H9" s="5" t="s">
        <v>48</v>
      </c>
      <c r="I9" s="3">
        <v>29.210526315789473</v>
      </c>
      <c r="L9" s="5" t="s">
        <v>48</v>
      </c>
      <c r="M9" s="3">
        <v>5.333333333333333</v>
      </c>
    </row>
    <row r="10" spans="1:13" x14ac:dyDescent="0.3">
      <c r="D10" s="5" t="s">
        <v>49</v>
      </c>
      <c r="E10" s="1">
        <v>15</v>
      </c>
      <c r="H10" s="5" t="s">
        <v>49</v>
      </c>
      <c r="I10" s="3">
        <v>37.266666666666666</v>
      </c>
      <c r="L10" s="5" t="s">
        <v>49</v>
      </c>
      <c r="M10" s="3">
        <v>5.6</v>
      </c>
    </row>
    <row r="11" spans="1:13" x14ac:dyDescent="0.3">
      <c r="A11" t="s">
        <v>3</v>
      </c>
      <c r="D11" s="5" t="s">
        <v>50</v>
      </c>
      <c r="E11" s="1">
        <v>15</v>
      </c>
      <c r="H11" s="5" t="s">
        <v>50</v>
      </c>
      <c r="I11" s="3">
        <v>34.133333333333333</v>
      </c>
      <c r="L11" s="5" t="s">
        <v>50</v>
      </c>
      <c r="M11" s="3">
        <v>8.4</v>
      </c>
    </row>
    <row r="12" spans="1:13" x14ac:dyDescent="0.3">
      <c r="A12" s="3">
        <v>4.7449664429530198</v>
      </c>
      <c r="D12" s="5" t="s">
        <v>51</v>
      </c>
      <c r="E12" s="1">
        <v>10</v>
      </c>
      <c r="H12" s="5" t="s">
        <v>51</v>
      </c>
      <c r="I12" s="3">
        <v>38.6</v>
      </c>
      <c r="L12" s="5" t="s">
        <v>51</v>
      </c>
      <c r="M12" s="3">
        <v>3</v>
      </c>
    </row>
    <row r="13" spans="1:13" x14ac:dyDescent="0.3">
      <c r="D13" s="5" t="s">
        <v>52</v>
      </c>
      <c r="E13" s="1">
        <v>19</v>
      </c>
      <c r="H13" s="5" t="s">
        <v>52</v>
      </c>
      <c r="I13" s="3">
        <v>36.05263157894737</v>
      </c>
      <c r="L13" s="5" t="s">
        <v>52</v>
      </c>
      <c r="M13" s="3">
        <v>5</v>
      </c>
    </row>
    <row r="14" spans="1:13" x14ac:dyDescent="0.3">
      <c r="D14" s="5" t="s">
        <v>53</v>
      </c>
      <c r="E14" s="1">
        <v>12</v>
      </c>
      <c r="H14" s="5" t="s">
        <v>53</v>
      </c>
      <c r="I14" s="3">
        <v>39.833333333333336</v>
      </c>
      <c r="L14" s="5" t="s">
        <v>53</v>
      </c>
      <c r="M14" s="3">
        <v>7</v>
      </c>
    </row>
    <row r="15" spans="1:13" x14ac:dyDescent="0.3">
      <c r="D15" s="5" t="s">
        <v>54</v>
      </c>
      <c r="E15" s="1">
        <v>20</v>
      </c>
      <c r="H15" s="5" t="s">
        <v>54</v>
      </c>
      <c r="I15" s="3">
        <v>34.700000000000003</v>
      </c>
      <c r="L15" s="5" t="s">
        <v>54</v>
      </c>
      <c r="M15" s="3">
        <v>5.2857142857142856</v>
      </c>
    </row>
    <row r="16" spans="1:13" x14ac:dyDescent="0.3">
      <c r="D16" s="5" t="s">
        <v>55</v>
      </c>
      <c r="E16" s="1">
        <v>18</v>
      </c>
      <c r="H16" s="5" t="s">
        <v>55</v>
      </c>
      <c r="I16" s="3">
        <v>41.055555555555557</v>
      </c>
      <c r="L16" s="5" t="s">
        <v>55</v>
      </c>
      <c r="M16" s="3">
        <v>3</v>
      </c>
    </row>
    <row r="17" spans="4:13" x14ac:dyDescent="0.3">
      <c r="D17" s="5" t="s">
        <v>56</v>
      </c>
      <c r="E17" s="1">
        <v>20</v>
      </c>
      <c r="H17" s="5" t="s">
        <v>56</v>
      </c>
      <c r="I17" s="3">
        <v>36.950000000000003</v>
      </c>
      <c r="L17" s="5" t="s">
        <v>56</v>
      </c>
      <c r="M17" s="3">
        <v>4.5</v>
      </c>
    </row>
    <row r="18" spans="4:13" x14ac:dyDescent="0.3">
      <c r="D18" s="5" t="s">
        <v>57</v>
      </c>
      <c r="E18" s="1">
        <v>11</v>
      </c>
      <c r="H18" s="5" t="s">
        <v>57</v>
      </c>
      <c r="I18" s="3">
        <v>38.18181818181818</v>
      </c>
      <c r="L18" s="5" t="s">
        <v>57</v>
      </c>
      <c r="M18" s="3">
        <v>6.25</v>
      </c>
    </row>
    <row r="19" spans="4:13" x14ac:dyDescent="0.3">
      <c r="D19" s="5" t="s">
        <v>58</v>
      </c>
      <c r="E19" s="1">
        <v>10</v>
      </c>
      <c r="H19" s="5" t="s">
        <v>58</v>
      </c>
      <c r="I19" s="3">
        <v>30.9</v>
      </c>
      <c r="L19" s="5" t="s">
        <v>58</v>
      </c>
      <c r="M19" s="3">
        <v>5</v>
      </c>
    </row>
    <row r="20" spans="4:13" x14ac:dyDescent="0.3">
      <c r="D20" s="5" t="s">
        <v>59</v>
      </c>
      <c r="E20" s="1">
        <v>14</v>
      </c>
      <c r="H20" s="5" t="s">
        <v>59</v>
      </c>
      <c r="I20" s="3">
        <v>27.571428571428573</v>
      </c>
      <c r="L20" s="5" t="s">
        <v>59</v>
      </c>
      <c r="M20" s="3">
        <v>6.8</v>
      </c>
    </row>
    <row r="21" spans="4:13" x14ac:dyDescent="0.3">
      <c r="D21" s="5" t="s">
        <v>60</v>
      </c>
      <c r="E21" s="1">
        <v>11</v>
      </c>
      <c r="H21" s="5" t="s">
        <v>60</v>
      </c>
      <c r="I21" s="3">
        <v>33.18181818181818</v>
      </c>
      <c r="L21" s="5" t="s">
        <v>60</v>
      </c>
      <c r="M21" s="3">
        <v>5</v>
      </c>
    </row>
    <row r="22" spans="4:13" x14ac:dyDescent="0.3">
      <c r="D22" s="5" t="s">
        <v>61</v>
      </c>
      <c r="E22" s="1">
        <v>25</v>
      </c>
      <c r="H22" s="5" t="s">
        <v>61</v>
      </c>
      <c r="I22" s="3">
        <v>34.28</v>
      </c>
      <c r="L22" s="5" t="s">
        <v>61</v>
      </c>
      <c r="M22" s="3">
        <v>4.7142857142857144</v>
      </c>
    </row>
    <row r="23" spans="4:13" x14ac:dyDescent="0.3">
      <c r="D23" s="5" t="s">
        <v>62</v>
      </c>
      <c r="E23" s="1">
        <v>17</v>
      </c>
      <c r="H23" s="5" t="s">
        <v>62</v>
      </c>
      <c r="I23" s="3">
        <v>39.764705882352942</v>
      </c>
      <c r="L23" s="5" t="s">
        <v>62</v>
      </c>
      <c r="M23" s="3">
        <v>6.7142857142857144</v>
      </c>
    </row>
    <row r="24" spans="4:13" x14ac:dyDescent="0.3">
      <c r="D24" s="5" t="s">
        <v>63</v>
      </c>
      <c r="E24" s="1">
        <v>22</v>
      </c>
      <c r="H24" s="5" t="s">
        <v>63</v>
      </c>
      <c r="I24" s="3">
        <v>31.954545454545453</v>
      </c>
      <c r="L24" s="5" t="s">
        <v>63</v>
      </c>
      <c r="M24" s="3">
        <v>1.5714285714285714</v>
      </c>
    </row>
    <row r="25" spans="4:13" x14ac:dyDescent="0.3">
      <c r="D25" s="5" t="s">
        <v>64</v>
      </c>
      <c r="E25" s="1">
        <v>18</v>
      </c>
      <c r="H25" s="5" t="s">
        <v>64</v>
      </c>
      <c r="I25" s="3">
        <v>30.166666666666668</v>
      </c>
      <c r="L25" s="5" t="s">
        <v>64</v>
      </c>
      <c r="M25" s="3">
        <v>5.125</v>
      </c>
    </row>
    <row r="26" spans="4:13" x14ac:dyDescent="0.3">
      <c r="D26" s="5" t="s">
        <v>65</v>
      </c>
      <c r="E26" s="1">
        <v>16</v>
      </c>
      <c r="H26" s="5" t="s">
        <v>65</v>
      </c>
      <c r="I26" s="3">
        <v>36.875</v>
      </c>
      <c r="L26" s="5" t="s">
        <v>65</v>
      </c>
      <c r="M26" s="3">
        <v>4.5</v>
      </c>
    </row>
    <row r="27" spans="4:13" x14ac:dyDescent="0.3">
      <c r="D27" s="5" t="s">
        <v>66</v>
      </c>
      <c r="E27" s="1">
        <v>14</v>
      </c>
      <c r="H27" s="5" t="s">
        <v>66</v>
      </c>
      <c r="I27" s="3">
        <v>38.714285714285715</v>
      </c>
      <c r="L27" s="5" t="s">
        <v>66</v>
      </c>
      <c r="M27" s="3">
        <v>5.666666666666667</v>
      </c>
    </row>
    <row r="28" spans="4:13" x14ac:dyDescent="0.3">
      <c r="D28" s="5" t="s">
        <v>67</v>
      </c>
      <c r="E28" s="1">
        <v>13</v>
      </c>
      <c r="H28" s="5" t="s">
        <v>67</v>
      </c>
      <c r="I28" s="3">
        <v>31.923076923076923</v>
      </c>
      <c r="L28" s="5" t="s">
        <v>67</v>
      </c>
      <c r="M28" s="3">
        <v>6.5</v>
      </c>
    </row>
    <row r="29" spans="4:13" x14ac:dyDescent="0.3">
      <c r="D29" s="5" t="s">
        <v>68</v>
      </c>
      <c r="E29" s="1">
        <v>15</v>
      </c>
      <c r="H29" s="5" t="s">
        <v>68</v>
      </c>
      <c r="I29" s="3">
        <v>29.6</v>
      </c>
      <c r="L29" s="5" t="s">
        <v>68</v>
      </c>
      <c r="M29" s="3">
        <v>4.333333333333333</v>
      </c>
    </row>
    <row r="30" spans="4:13" x14ac:dyDescent="0.3">
      <c r="D30" s="5" t="s">
        <v>69</v>
      </c>
      <c r="E30" s="1">
        <v>18</v>
      </c>
      <c r="H30" s="5" t="s">
        <v>69</v>
      </c>
      <c r="I30" s="3">
        <v>31.666666666666668</v>
      </c>
      <c r="L30" s="5" t="s">
        <v>69</v>
      </c>
      <c r="M30" s="3">
        <v>4</v>
      </c>
    </row>
    <row r="31" spans="4:13" x14ac:dyDescent="0.3">
      <c r="D31" s="5" t="s">
        <v>70</v>
      </c>
      <c r="E31" s="1">
        <v>10</v>
      </c>
      <c r="H31" s="5" t="s">
        <v>70</v>
      </c>
      <c r="I31" s="3">
        <v>42.6</v>
      </c>
      <c r="L31" s="5" t="s">
        <v>70</v>
      </c>
      <c r="M31" s="3">
        <v>4.5</v>
      </c>
    </row>
    <row r="32" spans="4:13" x14ac:dyDescent="0.3">
      <c r="D32" s="5" t="s">
        <v>71</v>
      </c>
      <c r="E32" s="1">
        <v>15</v>
      </c>
      <c r="H32" s="5" t="s">
        <v>71</v>
      </c>
      <c r="I32" s="3">
        <v>33.799999999999997</v>
      </c>
      <c r="L32" s="5" t="s">
        <v>71</v>
      </c>
      <c r="M32" s="3">
        <v>3.6666666666666665</v>
      </c>
    </row>
    <row r="33" spans="4:13" x14ac:dyDescent="0.3">
      <c r="D33" s="5" t="s">
        <v>72</v>
      </c>
      <c r="E33" s="1">
        <v>18</v>
      </c>
      <c r="H33" s="5" t="s">
        <v>72</v>
      </c>
      <c r="I33" s="3">
        <v>40.555555555555557</v>
      </c>
      <c r="L33" s="5" t="s">
        <v>72</v>
      </c>
      <c r="M33" s="3">
        <v>3.2</v>
      </c>
    </row>
    <row r="34" spans="4:13" x14ac:dyDescent="0.3">
      <c r="D34" s="5" t="s">
        <v>73</v>
      </c>
      <c r="E34" s="1">
        <v>16</v>
      </c>
      <c r="H34" s="5" t="s">
        <v>73</v>
      </c>
      <c r="I34" s="3">
        <v>26.75</v>
      </c>
      <c r="L34" s="5" t="s">
        <v>73</v>
      </c>
      <c r="M34" s="3">
        <v>2.6666666666666665</v>
      </c>
    </row>
    <row r="35" spans="4:13" x14ac:dyDescent="0.3">
      <c r="D35" s="5" t="s">
        <v>74</v>
      </c>
      <c r="E35" s="1">
        <v>20</v>
      </c>
      <c r="H35" s="5" t="s">
        <v>74</v>
      </c>
      <c r="I35" s="3">
        <v>35.049999999999997</v>
      </c>
      <c r="L35" s="5" t="s">
        <v>74</v>
      </c>
      <c r="M35" s="3">
        <v>5</v>
      </c>
    </row>
    <row r="36" spans="4:13" x14ac:dyDescent="0.3">
      <c r="D36" s="5" t="s">
        <v>5</v>
      </c>
      <c r="E36" s="1">
        <v>493</v>
      </c>
      <c r="H36" s="5" t="s">
        <v>5</v>
      </c>
      <c r="I36" s="1">
        <v>34.933062880324542</v>
      </c>
      <c r="L36" s="5" t="s">
        <v>5</v>
      </c>
      <c r="M36" s="1">
        <v>4.7449664429530198</v>
      </c>
    </row>
    <row r="48" spans="4:13" ht="25.2" customHeight="1" x14ac:dyDescent="0.3"/>
    <row r="49" spans="1:4" ht="17.399999999999999" customHeight="1" x14ac:dyDescent="0.3"/>
    <row r="50" spans="1:4" ht="17.399999999999999" customHeight="1" x14ac:dyDescent="0.3">
      <c r="B50" s="8"/>
      <c r="C50" s="10"/>
    </row>
    <row r="51" spans="1:4" ht="17.399999999999999" customHeight="1" x14ac:dyDescent="0.3">
      <c r="B51" s="8"/>
      <c r="C51" s="10"/>
    </row>
    <row r="55" spans="1:4" x14ac:dyDescent="0.3">
      <c r="A55" s="2" t="s">
        <v>4</v>
      </c>
      <c r="B55" t="s">
        <v>9</v>
      </c>
      <c r="C55" t="s">
        <v>12</v>
      </c>
    </row>
    <row r="56" spans="1:4" x14ac:dyDescent="0.3">
      <c r="A56" s="5" t="s">
        <v>10</v>
      </c>
      <c r="B56" s="1">
        <v>239</v>
      </c>
      <c r="C56" s="9">
        <v>0.48478701825557807</v>
      </c>
    </row>
    <row r="57" spans="1:4" x14ac:dyDescent="0.3">
      <c r="A57" s="5" t="s">
        <v>11</v>
      </c>
      <c r="B57" s="1">
        <v>254</v>
      </c>
      <c r="C57" s="9">
        <v>0.51521298174442187</v>
      </c>
    </row>
    <row r="58" spans="1:4" x14ac:dyDescent="0.3">
      <c r="A58" s="5" t="s">
        <v>5</v>
      </c>
      <c r="B58" s="1">
        <v>493</v>
      </c>
      <c r="C58" s="9">
        <v>1</v>
      </c>
    </row>
    <row r="63" spans="1:4" ht="16.2" customHeight="1" x14ac:dyDescent="0.3">
      <c r="A63" s="14" t="s">
        <v>13</v>
      </c>
      <c r="B63" s="14" t="s">
        <v>14</v>
      </c>
      <c r="C63" s="14" t="s">
        <v>15</v>
      </c>
      <c r="D63" s="15"/>
    </row>
    <row r="64" spans="1:4" ht="18" customHeight="1" x14ac:dyDescent="0.3">
      <c r="A64" s="12" t="str">
        <f>A56</f>
        <v>Admitted</v>
      </c>
      <c r="B64" s="12">
        <f t="shared" ref="B64:C64" si="0">B56</f>
        <v>239</v>
      </c>
      <c r="C64" s="13">
        <f t="shared" si="0"/>
        <v>0.48478701825557807</v>
      </c>
      <c r="D64" s="11"/>
    </row>
    <row r="65" spans="1:4" ht="18" customHeight="1" x14ac:dyDescent="0.3">
      <c r="A65" s="12" t="str">
        <f>A57</f>
        <v>Not Admitted</v>
      </c>
      <c r="B65" s="12">
        <f t="shared" ref="B65:C65" si="1">B57</f>
        <v>254</v>
      </c>
      <c r="C65" s="13">
        <f t="shared" si="1"/>
        <v>0.51521298174442187</v>
      </c>
      <c r="D65" s="11"/>
    </row>
    <row r="68" spans="1:4" x14ac:dyDescent="0.3">
      <c r="A68" t="s">
        <v>25</v>
      </c>
    </row>
    <row r="69" spans="1:4" x14ac:dyDescent="0.3">
      <c r="A69" s="2" t="s">
        <v>4</v>
      </c>
      <c r="B69" t="s">
        <v>24</v>
      </c>
    </row>
    <row r="70" spans="1:4" x14ac:dyDescent="0.3">
      <c r="A70" s="5" t="s">
        <v>16</v>
      </c>
      <c r="B70" s="1">
        <v>52</v>
      </c>
    </row>
    <row r="71" spans="1:4" x14ac:dyDescent="0.3">
      <c r="A71" s="5" t="s">
        <v>17</v>
      </c>
      <c r="B71" s="1">
        <v>65</v>
      </c>
    </row>
    <row r="72" spans="1:4" x14ac:dyDescent="0.3">
      <c r="A72" s="5" t="s">
        <v>18</v>
      </c>
      <c r="B72" s="1">
        <v>64</v>
      </c>
    </row>
    <row r="73" spans="1:4" x14ac:dyDescent="0.3">
      <c r="A73" s="5" t="s">
        <v>19</v>
      </c>
      <c r="B73" s="1">
        <v>57</v>
      </c>
    </row>
    <row r="74" spans="1:4" x14ac:dyDescent="0.3">
      <c r="A74" s="5" t="s">
        <v>20</v>
      </c>
      <c r="B74" s="1">
        <v>71</v>
      </c>
    </row>
    <row r="75" spans="1:4" x14ac:dyDescent="0.3">
      <c r="A75" s="5" t="s">
        <v>21</v>
      </c>
      <c r="B75" s="1">
        <v>59</v>
      </c>
    </row>
    <row r="76" spans="1:4" x14ac:dyDescent="0.3">
      <c r="A76" s="5" t="s">
        <v>22</v>
      </c>
      <c r="B76" s="1">
        <v>93</v>
      </c>
    </row>
    <row r="77" spans="1:4" x14ac:dyDescent="0.3">
      <c r="A77" s="5" t="s">
        <v>23</v>
      </c>
      <c r="B77" s="1">
        <v>32</v>
      </c>
    </row>
    <row r="78" spans="1:4" x14ac:dyDescent="0.3">
      <c r="A78" s="5" t="s">
        <v>5</v>
      </c>
      <c r="B78" s="1">
        <v>493</v>
      </c>
    </row>
    <row r="81" spans="1:2" x14ac:dyDescent="0.3">
      <c r="A81" s="5" t="s">
        <v>29</v>
      </c>
    </row>
    <row r="82" spans="1:2" x14ac:dyDescent="0.3">
      <c r="A82" s="2" t="s">
        <v>4</v>
      </c>
      <c r="B82" t="s">
        <v>28</v>
      </c>
    </row>
    <row r="83" spans="1:2" x14ac:dyDescent="0.3">
      <c r="A83" s="5" t="s">
        <v>27</v>
      </c>
      <c r="B83" s="1">
        <v>293</v>
      </c>
    </row>
    <row r="84" spans="1:2" x14ac:dyDescent="0.3">
      <c r="A84" s="5" t="s">
        <v>26</v>
      </c>
      <c r="B84" s="1">
        <v>200</v>
      </c>
    </row>
    <row r="85" spans="1:2" x14ac:dyDescent="0.3">
      <c r="A85" s="5" t="s">
        <v>5</v>
      </c>
      <c r="B85" s="1">
        <v>493</v>
      </c>
    </row>
    <row r="87" spans="1:2" x14ac:dyDescent="0.3">
      <c r="A87" s="5" t="s">
        <v>33</v>
      </c>
    </row>
    <row r="88" spans="1:2" x14ac:dyDescent="0.3">
      <c r="A88" s="2" t="s">
        <v>4</v>
      </c>
      <c r="B88" t="s">
        <v>32</v>
      </c>
    </row>
    <row r="89" spans="1:2" x14ac:dyDescent="0.3">
      <c r="A89" s="5" t="s">
        <v>30</v>
      </c>
      <c r="B89" s="1">
        <v>248</v>
      </c>
    </row>
    <row r="90" spans="1:2" x14ac:dyDescent="0.3">
      <c r="A90" s="5" t="s">
        <v>31</v>
      </c>
      <c r="B90" s="1">
        <v>245</v>
      </c>
    </row>
    <row r="91" spans="1:2" x14ac:dyDescent="0.3">
      <c r="A91" s="5" t="s">
        <v>5</v>
      </c>
      <c r="B91" s="1">
        <v>493</v>
      </c>
    </row>
    <row r="95" spans="1:2" x14ac:dyDescent="0.3">
      <c r="A95" s="2" t="s">
        <v>4</v>
      </c>
      <c r="B95" t="s">
        <v>42</v>
      </c>
    </row>
    <row r="96" spans="1:2" x14ac:dyDescent="0.3">
      <c r="A96" s="5" t="s">
        <v>35</v>
      </c>
      <c r="B96" s="1">
        <v>9</v>
      </c>
    </row>
    <row r="97" spans="1:2" x14ac:dyDescent="0.3">
      <c r="A97" s="5" t="s">
        <v>41</v>
      </c>
      <c r="B97" s="1">
        <v>9</v>
      </c>
    </row>
    <row r="98" spans="1:2" x14ac:dyDescent="0.3">
      <c r="A98" s="5" t="s">
        <v>34</v>
      </c>
      <c r="B98" s="1">
        <v>10</v>
      </c>
    </row>
    <row r="99" spans="1:2" x14ac:dyDescent="0.3">
      <c r="A99" s="5" t="s">
        <v>37</v>
      </c>
      <c r="B99" s="1">
        <v>11</v>
      </c>
    </row>
    <row r="100" spans="1:2" x14ac:dyDescent="0.3">
      <c r="A100" s="5" t="s">
        <v>40</v>
      </c>
      <c r="B100" s="1">
        <v>15</v>
      </c>
    </row>
    <row r="101" spans="1:2" x14ac:dyDescent="0.3">
      <c r="A101" s="5" t="s">
        <v>39</v>
      </c>
      <c r="B101" s="1">
        <v>61</v>
      </c>
    </row>
    <row r="102" spans="1:2" x14ac:dyDescent="0.3">
      <c r="A102" s="5" t="s">
        <v>36</v>
      </c>
      <c r="B102" s="1">
        <v>96</v>
      </c>
    </row>
    <row r="103" spans="1:2" x14ac:dyDescent="0.3">
      <c r="A103" s="5" t="s">
        <v>38</v>
      </c>
      <c r="B103" s="1">
        <v>282</v>
      </c>
    </row>
    <row r="104" spans="1:2" x14ac:dyDescent="0.3">
      <c r="A104" s="5" t="s">
        <v>5</v>
      </c>
      <c r="B104" s="1">
        <v>493</v>
      </c>
    </row>
    <row r="109" spans="1:2" x14ac:dyDescent="0.3">
      <c r="A109" s="2" t="s">
        <v>4</v>
      </c>
    </row>
    <row r="110" spans="1:2" x14ac:dyDescent="0.3">
      <c r="A110" s="5" t="s">
        <v>43</v>
      </c>
    </row>
    <row r="111" spans="1:2" x14ac:dyDescent="0.3">
      <c r="A111" s="5"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293AB-E037-4966-B2CC-9766BD197930}">
  <dimension ref="A1:N27"/>
  <sheetViews>
    <sheetView zoomScale="95" workbookViewId="0"/>
  </sheetViews>
  <sheetFormatPr defaultRowHeight="14.4" x14ac:dyDescent="0.3"/>
  <sheetData>
    <row r="1" spans="1:14" x14ac:dyDescent="0.3">
      <c r="A1" s="7"/>
      <c r="B1" s="7"/>
      <c r="C1" s="7"/>
      <c r="D1" s="7"/>
      <c r="E1" s="7"/>
      <c r="F1" s="7"/>
      <c r="G1" s="7"/>
      <c r="H1" s="7"/>
      <c r="I1" s="7"/>
      <c r="J1" s="7"/>
      <c r="K1" s="7"/>
      <c r="L1" s="7"/>
      <c r="M1" s="7"/>
      <c r="N1" s="7"/>
    </row>
    <row r="2" spans="1:14" x14ac:dyDescent="0.3">
      <c r="A2" s="7"/>
      <c r="B2" s="7"/>
      <c r="C2" s="7"/>
      <c r="D2" s="7"/>
      <c r="E2" s="7"/>
      <c r="F2" s="7"/>
      <c r="G2" s="7"/>
      <c r="H2" s="7"/>
      <c r="I2" s="7"/>
      <c r="J2" s="7"/>
      <c r="K2" s="7"/>
      <c r="L2" s="7"/>
      <c r="M2" s="7"/>
      <c r="N2" s="7"/>
    </row>
    <row r="3" spans="1:14" x14ac:dyDescent="0.3">
      <c r="A3" s="7"/>
      <c r="B3" s="7"/>
      <c r="C3" s="7"/>
      <c r="D3" s="7"/>
      <c r="E3" s="7"/>
      <c r="F3" s="7"/>
      <c r="G3" s="7"/>
      <c r="H3" s="7"/>
      <c r="I3" s="7"/>
      <c r="J3" s="7"/>
      <c r="K3" s="7"/>
      <c r="L3" s="7"/>
      <c r="M3" s="7"/>
      <c r="N3" s="7"/>
    </row>
    <row r="4" spans="1:14" x14ac:dyDescent="0.3">
      <c r="A4" s="7"/>
      <c r="B4" s="7"/>
      <c r="C4" s="7"/>
      <c r="D4" s="7"/>
      <c r="E4" s="7"/>
      <c r="F4" s="7"/>
      <c r="G4" s="7"/>
      <c r="H4" s="7"/>
      <c r="I4" s="7"/>
      <c r="J4" s="7"/>
      <c r="K4" s="7"/>
      <c r="L4" s="7"/>
      <c r="M4" s="7"/>
      <c r="N4" s="7"/>
    </row>
    <row r="5" spans="1:14" x14ac:dyDescent="0.3">
      <c r="A5" s="7"/>
      <c r="B5" s="7"/>
      <c r="C5" s="7"/>
      <c r="D5" s="7"/>
      <c r="E5" s="7"/>
      <c r="F5" s="7"/>
      <c r="G5" s="7"/>
      <c r="H5" s="7"/>
      <c r="I5" s="7"/>
      <c r="J5" s="7"/>
      <c r="K5" s="7"/>
      <c r="L5" s="7"/>
      <c r="M5" s="7"/>
      <c r="N5" s="7"/>
    </row>
    <row r="6" spans="1:14" x14ac:dyDescent="0.3">
      <c r="A6" s="7"/>
      <c r="B6" s="7"/>
      <c r="C6" s="7"/>
      <c r="D6" s="7"/>
      <c r="E6" s="7"/>
      <c r="F6" s="7"/>
      <c r="G6" s="7"/>
      <c r="H6" s="7"/>
      <c r="I6" s="7"/>
      <c r="J6" s="7"/>
      <c r="K6" s="7"/>
      <c r="L6" s="7"/>
      <c r="M6" s="7"/>
      <c r="N6" s="7"/>
    </row>
    <row r="7" spans="1:14" x14ac:dyDescent="0.3">
      <c r="A7" s="7"/>
      <c r="B7" s="7"/>
      <c r="C7" s="7"/>
      <c r="D7" s="7"/>
      <c r="E7" s="7"/>
      <c r="F7" s="7"/>
      <c r="G7" s="7"/>
      <c r="H7" s="7"/>
      <c r="I7" s="7"/>
      <c r="J7" s="7"/>
      <c r="K7" s="7"/>
      <c r="L7" s="7"/>
      <c r="M7" s="7"/>
      <c r="N7" s="7"/>
    </row>
    <row r="8" spans="1:14" x14ac:dyDescent="0.3">
      <c r="A8" s="7"/>
      <c r="B8" s="7"/>
      <c r="C8" s="7"/>
      <c r="D8" s="7"/>
      <c r="E8" s="7"/>
      <c r="F8" s="7"/>
      <c r="G8" s="7"/>
      <c r="H8" s="7"/>
      <c r="I8" s="7"/>
      <c r="J8" s="7"/>
      <c r="K8" s="7"/>
      <c r="L8" s="7"/>
      <c r="M8" s="7"/>
      <c r="N8" s="7"/>
    </row>
    <row r="9" spans="1:14" x14ac:dyDescent="0.3">
      <c r="A9" s="7"/>
      <c r="B9" s="7"/>
      <c r="C9" s="7"/>
      <c r="D9" s="7"/>
      <c r="E9" s="7"/>
      <c r="F9" s="7"/>
      <c r="G9" s="7"/>
      <c r="H9" s="7"/>
      <c r="I9" s="7"/>
      <c r="J9" s="7"/>
      <c r="K9" s="7"/>
      <c r="L9" s="7"/>
      <c r="M9" s="7"/>
      <c r="N9" s="7"/>
    </row>
    <row r="10" spans="1:14" x14ac:dyDescent="0.3">
      <c r="A10" s="7"/>
      <c r="B10" s="7"/>
      <c r="C10" s="7"/>
      <c r="D10" s="7"/>
      <c r="E10" s="7"/>
      <c r="F10" s="7"/>
      <c r="G10" s="7"/>
      <c r="H10" s="7"/>
      <c r="I10" s="7"/>
      <c r="J10" s="7"/>
      <c r="K10" s="7"/>
      <c r="L10" s="7"/>
      <c r="M10" s="7"/>
      <c r="N10" s="7"/>
    </row>
    <row r="11" spans="1:14" x14ac:dyDescent="0.3">
      <c r="A11" s="7"/>
      <c r="B11" s="7"/>
      <c r="C11" s="7"/>
      <c r="D11" s="7"/>
      <c r="E11" s="7"/>
      <c r="F11" s="7"/>
      <c r="G11" s="7"/>
      <c r="H11" s="7"/>
      <c r="I11" s="7"/>
      <c r="J11" s="7"/>
      <c r="K11" s="7"/>
      <c r="L11" s="7"/>
      <c r="M11" s="7"/>
      <c r="N11" s="7"/>
    </row>
    <row r="12" spans="1:14" x14ac:dyDescent="0.3">
      <c r="A12" s="7"/>
      <c r="B12" s="7"/>
      <c r="C12" s="7"/>
      <c r="D12" s="7"/>
      <c r="E12" s="7"/>
      <c r="F12" s="7"/>
      <c r="G12" s="7"/>
      <c r="H12" s="7"/>
      <c r="I12" s="7"/>
      <c r="J12" s="7"/>
      <c r="K12" s="7"/>
      <c r="L12" s="7"/>
      <c r="M12" s="7"/>
      <c r="N12" s="7"/>
    </row>
    <row r="13" spans="1:14" x14ac:dyDescent="0.3">
      <c r="A13" s="7"/>
      <c r="B13" s="7"/>
      <c r="C13" s="7"/>
      <c r="D13" s="7"/>
      <c r="E13" s="7"/>
      <c r="F13" s="7"/>
      <c r="G13" s="7"/>
      <c r="H13" s="7"/>
      <c r="I13" s="7"/>
      <c r="J13" s="7"/>
      <c r="K13" s="7"/>
      <c r="L13" s="7"/>
      <c r="M13" s="7"/>
      <c r="N13" s="7"/>
    </row>
    <row r="14" spans="1:14" x14ac:dyDescent="0.3">
      <c r="A14" s="7"/>
      <c r="B14" s="7"/>
      <c r="C14" s="7"/>
      <c r="D14" s="7"/>
      <c r="E14" s="7"/>
      <c r="F14" s="7"/>
      <c r="G14" s="7"/>
      <c r="H14" s="7"/>
      <c r="I14" s="7"/>
      <c r="J14" s="7"/>
      <c r="K14" s="7"/>
      <c r="L14" s="7"/>
      <c r="M14" s="7"/>
      <c r="N14" s="7"/>
    </row>
    <row r="15" spans="1:14" x14ac:dyDescent="0.3">
      <c r="A15" s="7"/>
      <c r="B15" s="7"/>
      <c r="C15" s="7"/>
      <c r="D15" s="7"/>
      <c r="E15" s="7"/>
      <c r="F15" s="7"/>
      <c r="G15" s="7"/>
      <c r="H15" s="7"/>
      <c r="I15" s="7"/>
      <c r="J15" s="7"/>
      <c r="K15" s="7"/>
      <c r="L15" s="7"/>
      <c r="M15" s="7"/>
      <c r="N15" s="7"/>
    </row>
    <row r="16" spans="1:14" x14ac:dyDescent="0.3">
      <c r="A16" s="7"/>
      <c r="B16" s="7"/>
      <c r="C16" s="7"/>
      <c r="D16" s="7"/>
      <c r="E16" s="7"/>
      <c r="F16" s="7"/>
      <c r="G16" s="7"/>
      <c r="H16" s="7"/>
      <c r="I16" s="7"/>
      <c r="J16" s="7"/>
      <c r="K16" s="7"/>
      <c r="L16" s="7"/>
      <c r="M16" s="7"/>
      <c r="N16" s="7"/>
    </row>
    <row r="17" spans="1:14" x14ac:dyDescent="0.3">
      <c r="A17" s="7"/>
      <c r="B17" s="7"/>
      <c r="C17" s="7"/>
      <c r="D17" s="7"/>
      <c r="E17" s="7"/>
      <c r="F17" s="7"/>
      <c r="G17" s="7"/>
      <c r="H17" s="7"/>
      <c r="I17" s="7"/>
      <c r="J17" s="7"/>
      <c r="K17" s="7"/>
      <c r="L17" s="7"/>
      <c r="M17" s="7"/>
      <c r="N17" s="7"/>
    </row>
    <row r="18" spans="1:14" x14ac:dyDescent="0.3">
      <c r="A18" s="7"/>
      <c r="B18" s="7"/>
      <c r="C18" s="7"/>
      <c r="D18" s="7"/>
      <c r="E18" s="7"/>
      <c r="F18" s="7"/>
      <c r="G18" s="7"/>
      <c r="H18" s="7"/>
      <c r="I18" s="7"/>
      <c r="J18" s="7"/>
      <c r="K18" s="7"/>
      <c r="L18" s="7"/>
      <c r="M18" s="7"/>
      <c r="N18" s="7"/>
    </row>
    <row r="19" spans="1:14" x14ac:dyDescent="0.3">
      <c r="A19" s="7"/>
      <c r="B19" s="7"/>
      <c r="C19" s="7"/>
      <c r="D19" s="7"/>
      <c r="E19" s="7"/>
      <c r="F19" s="7"/>
      <c r="G19" s="7"/>
      <c r="H19" s="7"/>
      <c r="I19" s="7"/>
      <c r="J19" s="7"/>
      <c r="K19" s="7"/>
      <c r="L19" s="7"/>
      <c r="M19" s="7"/>
      <c r="N19" s="7"/>
    </row>
    <row r="20" spans="1:14" x14ac:dyDescent="0.3">
      <c r="A20" s="7"/>
      <c r="B20" s="7"/>
      <c r="C20" s="7"/>
      <c r="D20" s="7"/>
      <c r="E20" s="7"/>
      <c r="F20" s="7"/>
      <c r="G20" s="7"/>
      <c r="H20" s="7"/>
      <c r="I20" s="7"/>
      <c r="J20" s="7"/>
      <c r="K20" s="7"/>
      <c r="L20" s="7"/>
      <c r="M20" s="7"/>
      <c r="N20" s="7"/>
    </row>
    <row r="21" spans="1:14" x14ac:dyDescent="0.3">
      <c r="A21" s="7"/>
      <c r="B21" s="7"/>
      <c r="C21" s="7"/>
      <c r="D21" s="7"/>
      <c r="E21" s="7"/>
      <c r="F21" s="7"/>
      <c r="G21" s="7"/>
      <c r="H21" s="7"/>
      <c r="I21" s="7"/>
      <c r="J21" s="7"/>
      <c r="K21" s="7"/>
      <c r="L21" s="7"/>
      <c r="M21" s="7"/>
      <c r="N21" s="7"/>
    </row>
    <row r="22" spans="1:14" x14ac:dyDescent="0.3">
      <c r="A22" s="7"/>
      <c r="B22" s="7"/>
      <c r="C22" s="7"/>
      <c r="D22" s="7"/>
      <c r="E22" s="7"/>
      <c r="F22" s="7"/>
      <c r="G22" s="7"/>
      <c r="H22" s="7"/>
      <c r="I22" s="7"/>
      <c r="J22" s="7"/>
      <c r="K22" s="7"/>
      <c r="L22" s="7"/>
      <c r="M22" s="7"/>
      <c r="N22" s="7"/>
    </row>
    <row r="23" spans="1:14" x14ac:dyDescent="0.3">
      <c r="A23" s="7"/>
      <c r="B23" s="7"/>
      <c r="C23" s="7"/>
      <c r="D23" s="7"/>
      <c r="E23" s="7"/>
      <c r="F23" s="7"/>
      <c r="G23" s="7"/>
      <c r="H23" s="7"/>
      <c r="I23" s="7"/>
      <c r="J23" s="7"/>
      <c r="K23" s="7"/>
      <c r="L23" s="7"/>
      <c r="M23" s="7"/>
      <c r="N23" s="7"/>
    </row>
    <row r="24" spans="1:14" x14ac:dyDescent="0.3">
      <c r="A24" s="7"/>
      <c r="B24" s="7"/>
      <c r="C24" s="7"/>
      <c r="D24" s="7"/>
      <c r="E24" s="7"/>
      <c r="F24" s="7"/>
      <c r="G24" s="7"/>
      <c r="H24" s="7"/>
      <c r="I24" s="7"/>
      <c r="J24" s="7"/>
      <c r="K24" s="7"/>
      <c r="L24" s="7"/>
      <c r="M24" s="7"/>
      <c r="N24" s="7"/>
    </row>
    <row r="25" spans="1:14" x14ac:dyDescent="0.3">
      <c r="A25" s="7"/>
      <c r="B25" s="7"/>
      <c r="C25" s="7"/>
      <c r="D25" s="7"/>
      <c r="E25" s="7"/>
      <c r="F25" s="7"/>
      <c r="G25" s="7"/>
      <c r="H25" s="7"/>
      <c r="I25" s="7"/>
      <c r="J25" s="7"/>
      <c r="K25" s="7"/>
      <c r="L25" s="7"/>
      <c r="M25" s="7"/>
      <c r="N25" s="7"/>
    </row>
    <row r="26" spans="1:14" x14ac:dyDescent="0.3">
      <c r="A26" s="7"/>
      <c r="B26" s="7"/>
      <c r="C26" s="7"/>
      <c r="D26" s="7"/>
      <c r="E26" s="7"/>
      <c r="F26" s="7"/>
      <c r="G26" s="7"/>
      <c r="H26" s="7"/>
      <c r="I26" s="7"/>
      <c r="J26" s="7"/>
      <c r="K26" s="7"/>
      <c r="L26" s="7"/>
      <c r="M26" s="7"/>
      <c r="N26" s="7"/>
    </row>
    <row r="27" spans="1:14" x14ac:dyDescent="0.3">
      <c r="A27" s="7"/>
      <c r="B27" s="7"/>
      <c r="C27" s="7"/>
      <c r="D27" s="7"/>
      <c r="E27" s="7"/>
      <c r="F27" s="7"/>
      <c r="G27" s="7"/>
      <c r="H27" s="7"/>
      <c r="I27" s="7"/>
      <c r="J27" s="7"/>
      <c r="K27" s="7"/>
      <c r="L27" s="7"/>
      <c r="M27" s="7"/>
      <c r="N27"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D98FE-B010-4DAF-924D-DE300B4EB479}">
  <dimension ref="A1:M29"/>
  <sheetViews>
    <sheetView zoomScaleNormal="100" workbookViewId="0"/>
  </sheetViews>
  <sheetFormatPr defaultRowHeight="14.4" x14ac:dyDescent="0.3"/>
  <sheetData>
    <row r="1" spans="1:13" x14ac:dyDescent="0.3">
      <c r="A1" s="6"/>
      <c r="B1" s="6"/>
      <c r="C1" s="6"/>
      <c r="D1" s="6"/>
      <c r="E1" s="6"/>
      <c r="F1" s="6"/>
      <c r="G1" s="6"/>
      <c r="H1" s="6"/>
      <c r="I1" s="6"/>
      <c r="J1" s="6"/>
      <c r="K1" s="6"/>
      <c r="L1" s="6"/>
      <c r="M1" s="6"/>
    </row>
    <row r="2" spans="1:13" x14ac:dyDescent="0.3">
      <c r="A2" s="6"/>
      <c r="B2" s="6"/>
      <c r="C2" s="6"/>
      <c r="D2" s="6"/>
      <c r="E2" s="6"/>
      <c r="F2" s="6"/>
      <c r="G2" s="6"/>
      <c r="H2" s="6"/>
      <c r="I2" s="6"/>
      <c r="J2" s="6"/>
      <c r="K2" s="6"/>
      <c r="L2" s="6"/>
      <c r="M2" s="6"/>
    </row>
    <row r="3" spans="1:13" x14ac:dyDescent="0.3">
      <c r="A3" s="6"/>
      <c r="B3" s="6"/>
      <c r="C3" s="6"/>
      <c r="D3" s="6"/>
      <c r="E3" s="6"/>
      <c r="F3" s="6"/>
      <c r="G3" s="6"/>
      <c r="H3" s="6"/>
      <c r="I3" s="6"/>
      <c r="J3" s="6"/>
      <c r="K3" s="6"/>
      <c r="L3" s="6"/>
      <c r="M3" s="6"/>
    </row>
    <row r="4" spans="1:13" x14ac:dyDescent="0.3">
      <c r="A4" s="6"/>
      <c r="B4" s="6"/>
      <c r="C4" s="6"/>
      <c r="D4" s="6"/>
      <c r="E4" s="6"/>
      <c r="F4" s="6"/>
      <c r="G4" s="6"/>
      <c r="H4" s="6"/>
      <c r="I4" s="6"/>
      <c r="J4" s="6"/>
      <c r="K4" s="6"/>
      <c r="L4" s="6"/>
      <c r="M4" s="6"/>
    </row>
    <row r="5" spans="1:13" x14ac:dyDescent="0.3">
      <c r="A5" s="6"/>
      <c r="B5" s="6"/>
      <c r="C5" s="6"/>
      <c r="D5" s="6"/>
      <c r="E5" s="6"/>
      <c r="F5" s="6"/>
      <c r="G5" s="6"/>
      <c r="H5" s="6"/>
      <c r="I5" s="6"/>
      <c r="J5" s="6"/>
      <c r="K5" s="6"/>
      <c r="L5" s="6"/>
      <c r="M5" s="6"/>
    </row>
    <row r="6" spans="1:13" x14ac:dyDescent="0.3">
      <c r="A6" s="6"/>
      <c r="B6" s="6"/>
      <c r="C6" s="6"/>
      <c r="D6" s="6"/>
      <c r="E6" s="6"/>
      <c r="F6" s="6"/>
      <c r="G6" s="6"/>
      <c r="H6" s="6"/>
      <c r="I6" s="6"/>
      <c r="J6" s="6"/>
      <c r="K6" s="6"/>
      <c r="L6" s="6"/>
      <c r="M6" s="6"/>
    </row>
    <row r="7" spans="1:13" x14ac:dyDescent="0.3">
      <c r="A7" s="6"/>
      <c r="B7" s="6"/>
      <c r="C7" s="6"/>
      <c r="D7" s="6"/>
      <c r="E7" s="6"/>
      <c r="F7" s="6"/>
      <c r="G7" s="6"/>
      <c r="H7" s="6"/>
      <c r="I7" s="6"/>
      <c r="J7" s="6"/>
      <c r="K7" s="6"/>
      <c r="L7" s="6"/>
      <c r="M7" s="6"/>
    </row>
    <row r="8" spans="1:13" x14ac:dyDescent="0.3">
      <c r="A8" s="6"/>
      <c r="B8" s="6"/>
      <c r="C8" s="6"/>
      <c r="D8" s="6"/>
      <c r="E8" s="6"/>
      <c r="F8" s="6"/>
      <c r="G8" s="6"/>
      <c r="H8" s="6"/>
      <c r="I8" s="6"/>
      <c r="J8" s="6"/>
      <c r="K8" s="6"/>
      <c r="L8" s="6"/>
      <c r="M8" s="6"/>
    </row>
    <row r="9" spans="1:13" x14ac:dyDescent="0.3">
      <c r="A9" s="6"/>
      <c r="B9" s="6"/>
      <c r="C9" s="6"/>
      <c r="D9" s="6"/>
      <c r="E9" s="6"/>
      <c r="F9" s="6"/>
      <c r="G9" s="6"/>
      <c r="H9" s="6"/>
      <c r="I9" s="6"/>
      <c r="J9" s="6"/>
      <c r="K9" s="6"/>
      <c r="L9" s="6"/>
      <c r="M9" s="6"/>
    </row>
    <row r="10" spans="1:13" x14ac:dyDescent="0.3">
      <c r="A10" s="6"/>
      <c r="B10" s="6"/>
      <c r="C10" s="6"/>
      <c r="D10" s="6"/>
      <c r="E10" s="6"/>
      <c r="F10" s="6"/>
      <c r="G10" s="6"/>
      <c r="H10" s="6"/>
      <c r="I10" s="6"/>
      <c r="J10" s="6"/>
      <c r="K10" s="6"/>
      <c r="L10" s="6"/>
      <c r="M10" s="6"/>
    </row>
    <row r="11" spans="1:13" x14ac:dyDescent="0.3">
      <c r="A11" s="6"/>
      <c r="B11" s="6"/>
      <c r="C11" s="6"/>
      <c r="D11" s="6"/>
      <c r="E11" s="6"/>
      <c r="F11" s="6"/>
      <c r="G11" s="6"/>
      <c r="H11" s="6"/>
      <c r="I11" s="6"/>
      <c r="J11" s="6"/>
      <c r="K11" s="6"/>
      <c r="L11" s="6"/>
      <c r="M11" s="6"/>
    </row>
    <row r="12" spans="1:13" x14ac:dyDescent="0.3">
      <c r="A12" s="6"/>
      <c r="B12" s="6"/>
      <c r="C12" s="6"/>
      <c r="D12" s="6"/>
      <c r="E12" s="6"/>
      <c r="F12" s="6"/>
      <c r="G12" s="6"/>
      <c r="H12" s="6"/>
      <c r="I12" s="6"/>
      <c r="J12" s="6"/>
      <c r="K12" s="6"/>
      <c r="L12" s="6"/>
      <c r="M12" s="6"/>
    </row>
    <row r="13" spans="1:13" x14ac:dyDescent="0.3">
      <c r="A13" s="6"/>
      <c r="B13" s="6"/>
      <c r="C13" s="6"/>
      <c r="D13" s="6"/>
      <c r="E13" s="6"/>
      <c r="F13" s="6"/>
      <c r="G13" s="6"/>
      <c r="H13" s="6"/>
      <c r="I13" s="6"/>
      <c r="J13" s="6"/>
      <c r="K13" s="6"/>
      <c r="L13" s="6"/>
      <c r="M13" s="6"/>
    </row>
    <row r="14" spans="1:13" x14ac:dyDescent="0.3">
      <c r="A14" s="6"/>
      <c r="B14" s="6"/>
      <c r="C14" s="6"/>
      <c r="D14" s="6"/>
      <c r="E14" s="6"/>
      <c r="F14" s="6"/>
      <c r="G14" s="6"/>
      <c r="H14" s="6"/>
      <c r="I14" s="6"/>
      <c r="J14" s="6"/>
      <c r="K14" s="6"/>
      <c r="L14" s="6"/>
      <c r="M14" s="6"/>
    </row>
    <row r="15" spans="1:13" x14ac:dyDescent="0.3">
      <c r="A15" s="6"/>
      <c r="B15" s="6"/>
      <c r="C15" s="6"/>
      <c r="D15" s="6"/>
      <c r="E15" s="6"/>
      <c r="F15" s="6"/>
      <c r="G15" s="6"/>
      <c r="H15" s="6"/>
      <c r="I15" s="6"/>
      <c r="J15" s="6"/>
      <c r="K15" s="6"/>
      <c r="L15" s="6"/>
      <c r="M15" s="6"/>
    </row>
    <row r="16" spans="1:13" x14ac:dyDescent="0.3">
      <c r="A16" s="6"/>
      <c r="B16" s="6"/>
      <c r="C16" s="6"/>
      <c r="D16" s="6"/>
      <c r="E16" s="6"/>
      <c r="F16" s="6"/>
      <c r="G16" s="6"/>
      <c r="H16" s="6"/>
      <c r="I16" s="6"/>
      <c r="J16" s="6"/>
      <c r="K16" s="6"/>
      <c r="L16" s="6"/>
      <c r="M16" s="6"/>
    </row>
    <row r="17" spans="1:13" x14ac:dyDescent="0.3">
      <c r="A17" s="6"/>
      <c r="B17" s="6"/>
      <c r="C17" s="6"/>
      <c r="D17" s="6"/>
      <c r="E17" s="6"/>
      <c r="F17" s="6"/>
      <c r="G17" s="6"/>
      <c r="H17" s="6"/>
      <c r="I17" s="6"/>
      <c r="J17" s="6"/>
      <c r="K17" s="6"/>
      <c r="L17" s="6"/>
      <c r="M17" s="6"/>
    </row>
    <row r="18" spans="1:13" x14ac:dyDescent="0.3">
      <c r="A18" s="6"/>
      <c r="B18" s="6"/>
      <c r="C18" s="6"/>
      <c r="D18" s="6"/>
      <c r="E18" s="6"/>
      <c r="F18" s="6"/>
      <c r="G18" s="6"/>
      <c r="H18" s="6"/>
      <c r="I18" s="6"/>
      <c r="J18" s="6"/>
      <c r="K18" s="6"/>
      <c r="L18" s="6"/>
      <c r="M18" s="6"/>
    </row>
    <row r="19" spans="1:13" x14ac:dyDescent="0.3">
      <c r="A19" s="6"/>
      <c r="B19" s="6"/>
      <c r="C19" s="6"/>
      <c r="D19" s="6"/>
      <c r="E19" s="6"/>
      <c r="F19" s="6"/>
      <c r="G19" s="6"/>
      <c r="H19" s="6"/>
      <c r="I19" s="6"/>
      <c r="J19" s="6"/>
      <c r="K19" s="6"/>
      <c r="L19" s="6"/>
      <c r="M19" s="6"/>
    </row>
    <row r="20" spans="1:13" x14ac:dyDescent="0.3">
      <c r="A20" s="6"/>
      <c r="B20" s="6"/>
      <c r="C20" s="6"/>
      <c r="D20" s="6"/>
      <c r="E20" s="6"/>
      <c r="F20" s="6"/>
      <c r="G20" s="6"/>
      <c r="H20" s="6"/>
      <c r="I20" s="6"/>
      <c r="J20" s="6"/>
      <c r="K20" s="6"/>
      <c r="L20" s="6"/>
      <c r="M20" s="6"/>
    </row>
    <row r="21" spans="1:13" x14ac:dyDescent="0.3">
      <c r="A21" s="6"/>
      <c r="B21" s="6"/>
      <c r="C21" s="6"/>
      <c r="D21" s="6"/>
      <c r="E21" s="6"/>
      <c r="F21" s="6"/>
      <c r="G21" s="6"/>
      <c r="H21" s="6"/>
      <c r="I21" s="6"/>
      <c r="J21" s="6"/>
      <c r="K21" s="6"/>
      <c r="L21" s="6"/>
      <c r="M21" s="6"/>
    </row>
    <row r="22" spans="1:13" x14ac:dyDescent="0.3">
      <c r="A22" s="6"/>
      <c r="B22" s="6"/>
      <c r="C22" s="6"/>
      <c r="D22" s="6"/>
      <c r="E22" s="6"/>
      <c r="F22" s="6"/>
      <c r="G22" s="6"/>
      <c r="H22" s="6"/>
      <c r="I22" s="6"/>
      <c r="J22" s="6"/>
      <c r="K22" s="6"/>
      <c r="L22" s="6"/>
      <c r="M22" s="6"/>
    </row>
    <row r="23" spans="1:13" x14ac:dyDescent="0.3">
      <c r="A23" s="6"/>
      <c r="B23" s="6"/>
      <c r="C23" s="6"/>
      <c r="D23" s="6"/>
      <c r="E23" s="6"/>
      <c r="F23" s="6"/>
      <c r="G23" s="6"/>
      <c r="H23" s="6"/>
      <c r="I23" s="6"/>
      <c r="J23" s="6"/>
      <c r="K23" s="6"/>
      <c r="L23" s="6"/>
      <c r="M23" s="6"/>
    </row>
    <row r="24" spans="1:13" x14ac:dyDescent="0.3">
      <c r="A24" s="6"/>
      <c r="B24" s="6"/>
      <c r="C24" s="6"/>
      <c r="D24" s="6"/>
      <c r="E24" s="6"/>
      <c r="F24" s="6"/>
      <c r="G24" s="6"/>
      <c r="H24" s="6"/>
      <c r="I24" s="6"/>
      <c r="J24" s="6"/>
      <c r="K24" s="6"/>
      <c r="L24" s="6"/>
      <c r="M24" s="6"/>
    </row>
    <row r="25" spans="1:13" x14ac:dyDescent="0.3">
      <c r="A25" s="6"/>
      <c r="B25" s="6"/>
      <c r="C25" s="6"/>
      <c r="D25" s="6"/>
      <c r="E25" s="6"/>
      <c r="F25" s="6"/>
      <c r="G25" s="6"/>
      <c r="H25" s="6"/>
      <c r="I25" s="6"/>
      <c r="J25" s="6"/>
      <c r="K25" s="6"/>
      <c r="L25" s="6"/>
      <c r="M25" s="6"/>
    </row>
    <row r="26" spans="1:13" x14ac:dyDescent="0.3">
      <c r="A26" s="6"/>
      <c r="B26" s="6"/>
      <c r="C26" s="6"/>
      <c r="D26" s="6"/>
      <c r="E26" s="6"/>
      <c r="F26" s="6"/>
      <c r="G26" s="6"/>
      <c r="H26" s="6"/>
      <c r="I26" s="6"/>
      <c r="J26" s="6"/>
      <c r="K26" s="6"/>
      <c r="L26" s="6"/>
      <c r="M26" s="6"/>
    </row>
    <row r="27" spans="1:13" x14ac:dyDescent="0.3">
      <c r="A27" s="6"/>
      <c r="B27" s="6"/>
      <c r="C27" s="6"/>
      <c r="D27" s="6"/>
      <c r="E27" s="6"/>
      <c r="F27" s="6"/>
      <c r="G27" s="6"/>
      <c r="H27" s="6"/>
      <c r="I27" s="6"/>
      <c r="J27" s="6"/>
      <c r="K27" s="6"/>
      <c r="L27" s="6"/>
      <c r="M27" s="6"/>
    </row>
    <row r="28" spans="1:13" x14ac:dyDescent="0.3">
      <c r="A28" s="6"/>
      <c r="B28" s="6"/>
      <c r="C28" s="6"/>
      <c r="D28" s="6"/>
      <c r="E28" s="6"/>
      <c r="F28" s="6"/>
      <c r="G28" s="6"/>
      <c r="H28" s="6"/>
      <c r="I28" s="6"/>
      <c r="J28" s="6"/>
      <c r="K28" s="6"/>
      <c r="L28" s="6"/>
      <c r="M28" s="6"/>
    </row>
    <row r="29" spans="1:13" x14ac:dyDescent="0.3">
      <c r="A29" s="6"/>
      <c r="B29" s="6"/>
      <c r="C29" s="6"/>
      <c r="D29" s="6"/>
      <c r="E29" s="6"/>
      <c r="F29" s="6"/>
      <c r="G29" s="6"/>
      <c r="H29" s="6"/>
      <c r="I29" s="6"/>
      <c r="J29" s="6"/>
      <c r="K29" s="6"/>
      <c r="L29" s="6"/>
      <c r="M29"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CAC7-E537-4795-A95C-C40CB1B45C7A}">
  <dimension ref="A1:N27"/>
  <sheetViews>
    <sheetView zoomScale="118" workbookViewId="0">
      <selection activeCell="H26" sqref="H26"/>
    </sheetView>
  </sheetViews>
  <sheetFormatPr defaultRowHeight="14.4" x14ac:dyDescent="0.3"/>
  <sheetData>
    <row r="1" spans="1:14" x14ac:dyDescent="0.3">
      <c r="A1" s="7"/>
      <c r="B1" s="7"/>
      <c r="C1" s="7"/>
      <c r="D1" s="7"/>
      <c r="E1" s="7"/>
      <c r="F1" s="7"/>
      <c r="G1" s="7"/>
      <c r="H1" s="7"/>
      <c r="I1" s="7"/>
      <c r="J1" s="7"/>
      <c r="K1" s="7"/>
      <c r="L1" s="7"/>
      <c r="M1" s="7"/>
      <c r="N1" s="7"/>
    </row>
    <row r="2" spans="1:14" x14ac:dyDescent="0.3">
      <c r="A2" s="7"/>
      <c r="B2" s="7"/>
      <c r="C2" s="7"/>
      <c r="D2" s="7"/>
      <c r="E2" s="7"/>
      <c r="F2" s="7"/>
      <c r="G2" s="7"/>
      <c r="H2" s="7"/>
      <c r="I2" s="7"/>
      <c r="J2" s="7"/>
      <c r="K2" s="7"/>
      <c r="L2" s="7"/>
      <c r="M2" s="7"/>
      <c r="N2" s="7"/>
    </row>
    <row r="3" spans="1:14" x14ac:dyDescent="0.3">
      <c r="A3" s="7"/>
      <c r="B3" s="7"/>
      <c r="C3" s="7"/>
      <c r="D3" s="7"/>
      <c r="E3" s="7"/>
      <c r="F3" s="7"/>
      <c r="G3" s="7"/>
      <c r="H3" s="7"/>
      <c r="I3" s="7"/>
      <c r="J3" s="7"/>
      <c r="K3" s="7"/>
      <c r="L3" s="7"/>
      <c r="M3" s="7"/>
      <c r="N3" s="7"/>
    </row>
    <row r="4" spans="1:14" x14ac:dyDescent="0.3">
      <c r="A4" s="7"/>
      <c r="B4" s="7"/>
      <c r="C4" s="7"/>
      <c r="D4" s="7"/>
      <c r="E4" s="7"/>
      <c r="F4" s="7"/>
      <c r="G4" s="7"/>
      <c r="H4" s="7"/>
      <c r="I4" s="7"/>
      <c r="J4" s="7"/>
      <c r="K4" s="7"/>
      <c r="L4" s="7"/>
      <c r="M4" s="7"/>
      <c r="N4" s="7"/>
    </row>
    <row r="5" spans="1:14" x14ac:dyDescent="0.3">
      <c r="A5" s="7"/>
      <c r="B5" s="7"/>
      <c r="C5" s="7"/>
      <c r="D5" s="7"/>
      <c r="E5" s="7"/>
      <c r="F5" s="7"/>
      <c r="G5" s="7"/>
      <c r="H5" s="7"/>
      <c r="I5" s="7"/>
      <c r="J5" s="7"/>
      <c r="K5" s="7"/>
      <c r="L5" s="7"/>
      <c r="M5" s="7"/>
      <c r="N5" s="7"/>
    </row>
    <row r="6" spans="1:14" x14ac:dyDescent="0.3">
      <c r="A6" s="7"/>
      <c r="B6" s="7"/>
      <c r="C6" s="7"/>
      <c r="D6" s="7"/>
      <c r="E6" s="7"/>
      <c r="F6" s="7"/>
      <c r="G6" s="7"/>
      <c r="H6" s="7"/>
      <c r="I6" s="7"/>
      <c r="J6" s="7"/>
      <c r="K6" s="7"/>
      <c r="L6" s="7"/>
      <c r="M6" s="7"/>
      <c r="N6" s="7"/>
    </row>
    <row r="7" spans="1:14" x14ac:dyDescent="0.3">
      <c r="A7" s="7"/>
      <c r="B7" s="7"/>
      <c r="C7" s="7"/>
      <c r="D7" s="7"/>
      <c r="E7" s="7"/>
      <c r="F7" s="7"/>
      <c r="G7" s="7"/>
      <c r="H7" s="7"/>
      <c r="I7" s="7"/>
      <c r="J7" s="7"/>
      <c r="K7" s="7"/>
      <c r="L7" s="7"/>
      <c r="M7" s="7"/>
      <c r="N7" s="7"/>
    </row>
    <row r="8" spans="1:14" x14ac:dyDescent="0.3">
      <c r="A8" s="7"/>
      <c r="B8" s="7"/>
      <c r="C8" s="7"/>
      <c r="D8" s="7"/>
      <c r="E8" s="7"/>
      <c r="F8" s="7"/>
      <c r="G8" s="7"/>
      <c r="H8" s="7"/>
      <c r="I8" s="7"/>
      <c r="J8" s="7"/>
      <c r="K8" s="7"/>
      <c r="L8" s="7"/>
      <c r="M8" s="7"/>
      <c r="N8" s="7"/>
    </row>
    <row r="9" spans="1:14" x14ac:dyDescent="0.3">
      <c r="A9" s="7"/>
      <c r="B9" s="7"/>
      <c r="C9" s="7"/>
      <c r="D9" s="7"/>
      <c r="E9" s="7"/>
      <c r="F9" s="7"/>
      <c r="G9" s="7"/>
      <c r="H9" s="7"/>
      <c r="I9" s="7"/>
      <c r="J9" s="7"/>
      <c r="K9" s="7"/>
      <c r="L9" s="7"/>
      <c r="M9" s="7"/>
      <c r="N9" s="7"/>
    </row>
    <row r="10" spans="1:14" x14ac:dyDescent="0.3">
      <c r="A10" s="7"/>
      <c r="B10" s="7"/>
      <c r="C10" s="7"/>
      <c r="D10" s="7"/>
      <c r="E10" s="7"/>
      <c r="F10" s="7"/>
      <c r="G10" s="7"/>
      <c r="H10" s="7"/>
      <c r="I10" s="7"/>
      <c r="J10" s="7"/>
      <c r="K10" s="7"/>
      <c r="L10" s="7"/>
      <c r="M10" s="7"/>
      <c r="N10" s="7"/>
    </row>
    <row r="11" spans="1:14" x14ac:dyDescent="0.3">
      <c r="A11" s="7"/>
      <c r="B11" s="7"/>
      <c r="C11" s="7"/>
      <c r="D11" s="7"/>
      <c r="E11" s="7"/>
      <c r="F11" s="7"/>
      <c r="G11" s="7"/>
      <c r="H11" s="7"/>
      <c r="I11" s="7"/>
      <c r="J11" s="7"/>
      <c r="K11" s="7"/>
      <c r="L11" s="7"/>
      <c r="M11" s="7"/>
      <c r="N11" s="7"/>
    </row>
    <row r="12" spans="1:14" x14ac:dyDescent="0.3">
      <c r="A12" s="7"/>
      <c r="B12" s="7"/>
      <c r="C12" s="7"/>
      <c r="D12" s="7"/>
      <c r="E12" s="7"/>
      <c r="F12" s="7"/>
      <c r="G12" s="7"/>
      <c r="H12" s="7"/>
      <c r="I12" s="7"/>
      <c r="J12" s="7"/>
      <c r="K12" s="7"/>
      <c r="L12" s="7"/>
      <c r="M12" s="7"/>
      <c r="N12" s="7"/>
    </row>
    <row r="13" spans="1:14" x14ac:dyDescent="0.3">
      <c r="A13" s="7"/>
      <c r="B13" s="7"/>
      <c r="C13" s="7"/>
      <c r="D13" s="7"/>
      <c r="E13" s="7"/>
      <c r="F13" s="7"/>
      <c r="G13" s="7"/>
      <c r="H13" s="7"/>
      <c r="I13" s="7"/>
      <c r="J13" s="7"/>
      <c r="K13" s="7"/>
      <c r="L13" s="7"/>
      <c r="M13" s="7"/>
      <c r="N13" s="7"/>
    </row>
    <row r="14" spans="1:14" x14ac:dyDescent="0.3">
      <c r="A14" s="7"/>
      <c r="B14" s="7"/>
      <c r="C14" s="7"/>
      <c r="D14" s="7"/>
      <c r="E14" s="7"/>
      <c r="F14" s="7"/>
      <c r="G14" s="7"/>
      <c r="H14" s="7"/>
      <c r="I14" s="7"/>
      <c r="J14" s="7"/>
      <c r="K14" s="7"/>
      <c r="L14" s="7"/>
      <c r="M14" s="7"/>
      <c r="N14" s="7"/>
    </row>
    <row r="15" spans="1:14" x14ac:dyDescent="0.3">
      <c r="A15" s="7"/>
      <c r="B15" s="7"/>
      <c r="C15" s="7"/>
      <c r="D15" s="7"/>
      <c r="E15" s="7"/>
      <c r="F15" s="7"/>
      <c r="G15" s="7"/>
      <c r="H15" s="7"/>
      <c r="I15" s="7"/>
      <c r="J15" s="7"/>
      <c r="K15" s="7"/>
      <c r="L15" s="7"/>
      <c r="M15" s="7"/>
      <c r="N15" s="7"/>
    </row>
    <row r="16" spans="1:14" x14ac:dyDescent="0.3">
      <c r="A16" s="7"/>
      <c r="B16" s="7"/>
      <c r="C16" s="7"/>
      <c r="D16" s="7"/>
      <c r="E16" s="7"/>
      <c r="F16" s="7"/>
      <c r="G16" s="7"/>
      <c r="H16" s="7"/>
      <c r="I16" s="7"/>
      <c r="J16" s="7"/>
      <c r="K16" s="7"/>
      <c r="L16" s="7"/>
      <c r="M16" s="7"/>
      <c r="N16" s="7"/>
    </row>
    <row r="17" spans="1:14" x14ac:dyDescent="0.3">
      <c r="A17" s="7"/>
      <c r="B17" s="7"/>
      <c r="C17" s="7"/>
      <c r="D17" s="7"/>
      <c r="E17" s="7"/>
      <c r="F17" s="7"/>
      <c r="G17" s="7"/>
      <c r="H17" s="7"/>
      <c r="I17" s="7"/>
      <c r="J17" s="7"/>
      <c r="K17" s="7"/>
      <c r="L17" s="7"/>
      <c r="M17" s="7"/>
      <c r="N17" s="7"/>
    </row>
    <row r="18" spans="1:14" x14ac:dyDescent="0.3">
      <c r="A18" s="7"/>
      <c r="B18" s="7"/>
      <c r="C18" s="7"/>
      <c r="D18" s="7"/>
      <c r="E18" s="7"/>
      <c r="F18" s="7"/>
      <c r="G18" s="7"/>
      <c r="H18" s="7"/>
      <c r="I18" s="7"/>
      <c r="J18" s="7"/>
      <c r="K18" s="7"/>
      <c r="L18" s="7"/>
      <c r="M18" s="7"/>
      <c r="N18" s="7"/>
    </row>
    <row r="19" spans="1:14" x14ac:dyDescent="0.3">
      <c r="A19" s="7"/>
      <c r="B19" s="7"/>
      <c r="C19" s="7"/>
      <c r="D19" s="7"/>
      <c r="E19" s="7"/>
      <c r="F19" s="7"/>
      <c r="G19" s="7"/>
      <c r="H19" s="7"/>
      <c r="I19" s="7"/>
      <c r="J19" s="7"/>
      <c r="K19" s="7"/>
      <c r="L19" s="7"/>
      <c r="M19" s="7"/>
      <c r="N19" s="7"/>
    </row>
    <row r="20" spans="1:14" x14ac:dyDescent="0.3">
      <c r="A20" s="7"/>
      <c r="B20" s="7"/>
      <c r="C20" s="7"/>
      <c r="D20" s="7"/>
      <c r="E20" s="7"/>
      <c r="F20" s="7"/>
      <c r="G20" s="7"/>
      <c r="H20" s="7"/>
      <c r="I20" s="7"/>
      <c r="J20" s="7"/>
      <c r="K20" s="7"/>
      <c r="L20" s="7"/>
      <c r="M20" s="7"/>
      <c r="N20" s="7"/>
    </row>
    <row r="21" spans="1:14" x14ac:dyDescent="0.3">
      <c r="A21" s="7"/>
      <c r="B21" s="7"/>
      <c r="C21" s="7"/>
      <c r="D21" s="7"/>
      <c r="E21" s="7"/>
      <c r="F21" s="7"/>
      <c r="G21" s="7"/>
      <c r="H21" s="7"/>
      <c r="I21" s="7"/>
      <c r="J21" s="7"/>
      <c r="K21" s="7"/>
      <c r="L21" s="7"/>
      <c r="M21" s="7"/>
      <c r="N21" s="7"/>
    </row>
    <row r="22" spans="1:14" x14ac:dyDescent="0.3">
      <c r="A22" s="7"/>
      <c r="B22" s="7"/>
      <c r="C22" s="7"/>
      <c r="D22" s="7"/>
      <c r="E22" s="7"/>
      <c r="F22" s="7"/>
      <c r="G22" s="7"/>
      <c r="H22" s="7"/>
      <c r="I22" s="7"/>
      <c r="J22" s="7"/>
      <c r="K22" s="7"/>
      <c r="L22" s="7"/>
      <c r="M22" s="7"/>
      <c r="N22" s="7"/>
    </row>
    <row r="23" spans="1:14" x14ac:dyDescent="0.3">
      <c r="A23" s="7"/>
      <c r="B23" s="7"/>
      <c r="C23" s="7"/>
      <c r="D23" s="7"/>
      <c r="E23" s="7"/>
      <c r="F23" s="7"/>
      <c r="G23" s="7"/>
      <c r="H23" s="7"/>
      <c r="I23" s="7"/>
      <c r="J23" s="7"/>
      <c r="K23" s="7"/>
      <c r="L23" s="7"/>
      <c r="M23" s="7"/>
      <c r="N23" s="7"/>
    </row>
    <row r="24" spans="1:14" x14ac:dyDescent="0.3">
      <c r="A24" s="7"/>
      <c r="B24" s="7"/>
      <c r="C24" s="7"/>
      <c r="D24" s="7"/>
      <c r="E24" s="7"/>
      <c r="F24" s="7"/>
      <c r="G24" s="7"/>
      <c r="H24" s="7"/>
      <c r="I24" s="7"/>
      <c r="J24" s="7"/>
      <c r="K24" s="7"/>
      <c r="L24" s="7"/>
      <c r="M24" s="7"/>
      <c r="N24" s="7"/>
    </row>
    <row r="25" spans="1:14" x14ac:dyDescent="0.3">
      <c r="A25" s="7"/>
      <c r="B25" s="7"/>
      <c r="C25" s="7"/>
      <c r="D25" s="7"/>
      <c r="E25" s="7"/>
      <c r="F25" s="7"/>
      <c r="G25" s="7"/>
      <c r="H25" s="7"/>
      <c r="I25" s="7"/>
      <c r="J25" s="7"/>
      <c r="K25" s="7"/>
      <c r="L25" s="7"/>
      <c r="M25" s="7"/>
      <c r="N25" s="7"/>
    </row>
    <row r="26" spans="1:14" x14ac:dyDescent="0.3">
      <c r="A26" s="7"/>
      <c r="B26" s="7"/>
      <c r="C26" s="7"/>
      <c r="D26" s="7"/>
      <c r="E26" s="7"/>
      <c r="F26" s="7"/>
      <c r="G26" s="7"/>
      <c r="H26" s="7"/>
      <c r="I26" s="7"/>
      <c r="J26" s="7"/>
      <c r="K26" s="7"/>
      <c r="L26" s="7"/>
      <c r="M26" s="7"/>
      <c r="N26" s="7"/>
    </row>
    <row r="27" spans="1:14" x14ac:dyDescent="0.3">
      <c r="A27" s="7"/>
      <c r="B27" s="7"/>
      <c r="C27" s="7"/>
      <c r="D27" s="7"/>
      <c r="E27" s="7"/>
      <c r="F27" s="7"/>
      <c r="G27" s="7"/>
      <c r="H27" s="7"/>
      <c r="I27" s="7"/>
      <c r="J27" s="7"/>
      <c r="K27" s="7"/>
      <c r="L27" s="7"/>
      <c r="M27" s="7"/>
      <c r="N27"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56B9-04A1-43A6-BB2A-9A39362D65C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3309FA34-B61A-463C-A33F-E246D61A94E4}">
  <ds:schemaRefs/>
</ds:datastoreItem>
</file>

<file path=customXml/itemProps2.xml><?xml version="1.0" encoding="utf-8"?>
<ds:datastoreItem xmlns:ds="http://schemas.openxmlformats.org/officeDocument/2006/customXml" ds:itemID="{F8A2C6B6-9DE4-4B19-A575-371D9B166C56}">
  <ds:schemaRefs/>
</ds:datastoreItem>
</file>

<file path=customXml/itemProps3.xml><?xml version="1.0" encoding="utf-8"?>
<ds:datastoreItem xmlns:ds="http://schemas.openxmlformats.org/officeDocument/2006/customXml" ds:itemID="{B02F3206-627E-47E9-A14F-916CA248829E}">
  <ds:schemaRefs/>
</ds:datastoreItem>
</file>

<file path=customXml/itemProps4.xml><?xml version="1.0" encoding="utf-8"?>
<ds:datastoreItem xmlns:ds="http://schemas.openxmlformats.org/officeDocument/2006/customXml" ds:itemID="{8EB6F2B6-4524-473E-BBF1-55C23DDB3756}">
  <ds:schemaRefs/>
</ds:datastoreItem>
</file>

<file path=customXml/itemProps5.xml><?xml version="1.0" encoding="utf-8"?>
<ds:datastoreItem xmlns:ds="http://schemas.openxmlformats.org/officeDocument/2006/customXml" ds:itemID="{8B76F9D1-A07E-4E55-AA28-BC6B0B94F348}">
  <ds:schemaRefs/>
</ds:datastoreItem>
</file>

<file path=customXml/itemProps6.xml><?xml version="1.0" encoding="utf-8"?>
<ds:datastoreItem xmlns:ds="http://schemas.openxmlformats.org/officeDocument/2006/customXml" ds:itemID="{DD2B5F5B-3860-4A3B-8F27-B389BEB5D719}">
  <ds:schemaRefs>
    <ds:schemaRef ds:uri="http://schemas.microsoft.com/DataMashup"/>
  </ds:schemaRefs>
</ds:datastoreItem>
</file>

<file path=customXml/itemProps7.xml><?xml version="1.0" encoding="utf-8"?>
<ds:datastoreItem xmlns:ds="http://schemas.openxmlformats.org/officeDocument/2006/customXml" ds:itemID="{B89288D4-1A13-4F0F-ABE8-36CBB830BB5E}">
  <ds:schemaRefs/>
</ds:datastoreItem>
</file>

<file path=customXml/itemProps8.xml><?xml version="1.0" encoding="utf-8"?>
<ds:datastoreItem xmlns:ds="http://schemas.openxmlformats.org/officeDocument/2006/customXml" ds:itemID="{AAD70856-D67B-415B-9CED-CF3BD2E5A567}">
  <ds:schemaRefs/>
</ds:datastoreItem>
</file>

<file path=customXml/itemProps9.xml><?xml version="1.0" encoding="utf-8"?>
<ds:datastoreItem xmlns:ds="http://schemas.openxmlformats.org/officeDocument/2006/customXml" ds:itemID="{83851C70-1FEA-40D5-BE51-2FF0D080A664}">
  <ds:schemaRefs/>
</ds:datastoreItem>
</file>

<file path=customXml/itemProps10.xml><?xml version="1.0" encoding="utf-8"?>
<ds:datastoreItem xmlns:ds="http://schemas.openxmlformats.org/officeDocument/2006/customXml" ds:itemID="{3136C5B5-4935-4418-B3E9-D538A0D4A25D}">
  <ds:schemaRefs/>
</ds:datastoreItem>
</file>

<file path=customXml/itemProps11.xml><?xml version="1.0" encoding="utf-8"?>
<ds:datastoreItem xmlns:ds="http://schemas.openxmlformats.org/officeDocument/2006/customXml" ds:itemID="{590556F2-4579-46BF-B509-2593E2711E1E}">
  <ds:schemaRefs/>
</ds:datastoreItem>
</file>

<file path=customXml/itemProps12.xml><?xml version="1.0" encoding="utf-8"?>
<ds:datastoreItem xmlns:ds="http://schemas.openxmlformats.org/officeDocument/2006/customXml" ds:itemID="{33DEA638-DB50-45C4-85DB-D629E6B2E9A9}">
  <ds:schemaRefs/>
</ds:datastoreItem>
</file>

<file path=customXml/itemProps13.xml><?xml version="1.0" encoding="utf-8"?>
<ds:datastoreItem xmlns:ds="http://schemas.openxmlformats.org/officeDocument/2006/customXml" ds:itemID="{95441C0E-FBEF-4FEF-AD25-8D0FADE1B8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Deshboard</vt:lpstr>
      <vt:lpstr>Pivot Report</vt:lpstr>
      <vt:lpstr>Average wait time daily trend</vt:lpstr>
      <vt:lpstr>Daily ER No Of Patient</vt:lpstr>
      <vt:lpstr>Satisfication core daily trend</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ydvrahul160@gmail.com</dc:creator>
  <cp:lastModifiedBy>ydvrahul160@gmail.com</cp:lastModifiedBy>
  <dcterms:created xsi:type="dcterms:W3CDTF">2025-11-01T08:28:53Z</dcterms:created>
  <dcterms:modified xsi:type="dcterms:W3CDTF">2026-09-16T11:47:22Z</dcterms:modified>
</cp:coreProperties>
</file>